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4ff332bd8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底总图" sheetId="1" r:id="R31d73337780d48ba"/>
    <x:sheet xmlns:r="http://schemas.openxmlformats.org/officeDocument/2006/relationships" name="总览采购" sheetId="2" r:id="Rf31d9b014e754f34"/>
    <x:sheet xmlns:r="http://schemas.openxmlformats.org/officeDocument/2006/relationships" name="施工布线" sheetId="3" r:id="R3accf66667124335"/>
    <x:sheet xmlns:r="http://schemas.openxmlformats.org/officeDocument/2006/relationships" name="逐条布线表" sheetId="4" r:id="R9e4b6649198240fe"/>
    <x:sheet xmlns:r="http://schemas.openxmlformats.org/officeDocument/2006/relationships" name="拓扑配置" sheetId="5" r:id="Re071106045744ce1"/>
    <x:sheet xmlns:r="http://schemas.openxmlformats.org/officeDocument/2006/relationships" name="兼容后置" sheetId="6" r:id="R5233e046014d4d90"/>
    <x:sheet xmlns:r="http://schemas.openxmlformats.org/officeDocument/2006/relationships" name="分阶段验收" sheetId="7" r:id="R0b5af8ddf3af4b4b"/>
    <x:sheet xmlns:r="http://schemas.openxmlformats.org/officeDocument/2006/relationships" name="来源定义" sheetId="8" r:id="R87869fa9fe3f4051"/>
    <x:sheet xmlns:r="http://schemas.openxmlformats.org/officeDocument/2006/relationships" name="差价对比" sheetId="9" r:id="R425dcf6d1adf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#,##0.00"/>
    <x:numFmt numFmtId="201" formatCode="&quot;¥&quot;#,##0.00"/>
    <x:numFmt numFmtId="202" formatCode="0.0"/>
    <x:numFmt numFmtId="203" formatCode="yyyy-mm-dd"/>
    <x:numFmt numFmtId="204" formatCode="0.00"/>
    <x:numFmt numFmtId="205" formatCode="0.0%"/>
    <x:numFmt numFmtId="206" formatCode="$#,##0.00;($#,##0.00);&quot;—&quot;"/>
    <x:numFmt numFmtId="207" formatCode="0"/>
    <x:numFmt numFmtId="208" formatCode="¥#,##0.00"/>
    <x:numFmt numFmtId="209" formatCode="General"/>
  </x:numFmts>
  <x:fonts count="13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1"/>
      <x:color rgb="FF0563C1"/>
      <x:name val="Carlito"/>
    </x:font>
    <x:font>
      <x:b/>
      <x:sz val="11"/>
      <x:color rgb="FF17365D"/>
      <x:name val="Arial"/>
    </x:font>
    <x:font>
      <x:b/>
      <x:sz val="10"/>
      <x:color rgb="FF17365D"/>
      <x:name val="Arial"/>
    </x:font>
    <x:font>
      <x:sz val="11"/>
      <x:name val="Arial"/>
    </x:font>
    <x:font>
      <x:sz val="10"/>
      <x:name val="Arial"/>
    </x:font>
    <x:font>
      <x:sz val="11"/>
      <x:color rgb="FF0563C1"/>
      <x:name val="Arial"/>
    </x:font>
    <x:font>
      <x:sz val="10"/>
      <x:color rgb="FF0563C1"/>
      <x:name val="Arial"/>
    </x:font>
    <x:font>
      <x:sz val="10"/>
      <x:color rgb="FF222222"/>
      <x:name val="Arial"/>
    </x:font>
    <x:font>
      <x:sz val="10"/>
      <x:color rgb="FF17365D"/>
      <x:name val="Arial"/>
    </x:font>
  </x:fonts>
  <x:fills count="3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5">
    <x:border>
      <x:left/>
      <x:right/>
      <x:top/>
      <x:bottom/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</x:borders>
  <x:cellStyleXfs count="1">
    <x:xf numFmtId="0" fontId="0" fillId="0" borderId="0"/>
  </x:cellStyleXfs>
  <x:cellXfs count="4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7" xfId="0" applyNumberFormat="1" applyFont="1" applyFill="1" applyBorder="1"/>
    <x:xf numFmtId="0" fontId="0" fillId="3" borderId="5" xfId="0" applyNumberFormat="1" applyFont="1" applyFill="1" applyBorder="1"/>
    <x:xf numFmtId="0" fontId="0" fillId="3" borderId="7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horizontal="left" wrapText="1"/>
    </x:xf>
    <x:xf numFmtId="0" fontId="0" fillId="3" borderId="5" xfId="0" applyNumberFormat="1" applyFont="1" applyFill="1" applyBorder="1" applyAlignment="1">
      <x:alignment horizontal="left" wrapText="1"/>
    </x:xf>
    <x:xf numFmtId="0" fontId="0" fillId="3" borderId="7" xfId="0" applyNumberFormat="1" applyFont="1" applyFill="1" applyBorder="1" applyAlignment="1">
      <x:alignment horizontal="left" vertical="center" wrapText="1"/>
    </x:xf>
    <x:xf numFmtId="0" fontId="0" fillId="3" borderId="5" xfId="0" applyNumberFormat="1" applyFont="1" applyFill="1" applyBorder="1" applyAlignment="1">
      <x:alignment horizontal="left" vertical="center" wrapText="1"/>
    </x:xf>
    <x:xf numFmtId="0" fontId="4" fillId="3" borderId="7" xfId="0" applyNumberFormat="1" applyFont="1" applyFill="1" applyBorder="1" applyAlignment="1">
      <x:alignment horizontal="left" vertical="center" wrapText="1"/>
    </x:xf>
    <x:xf numFmtId="0" fontId="4" fillId="3" borderId="5" xfId="0" applyNumberFormat="1" applyFont="1" applyFill="1" applyBorder="1" applyAlignment="1">
      <x:alignment horizontal="left" vertical="center" wrapText="1"/>
    </x:xf>
    <x:xf numFmtId="200" fontId="0" fillId="3" borderId="7" xfId="0" applyNumberFormat="1" applyFont="1" applyFill="1" applyBorder="1" applyAlignment="1">
      <x:alignment horizontal="left" vertical="center" wrapText="1"/>
    </x:xf>
    <x:xf numFmtId="200" fontId="0" fillId="3" borderId="5" xfId="0" applyNumberFormat="1" applyFont="1" applyFill="1" applyBorder="1" applyAlignment="1">
      <x:alignment horizontal="left" vertical="center" wrapText="1"/>
    </x:xf>
    <x:xf numFmtId="0" fontId="0" fillId="3" borderId="7" xfId="0" applyNumberFormat="1" applyFont="1" applyFill="1" applyBorder="1" applyAlignment="1">
      <x:alignment horizontal="right" vertical="center" wrapText="1"/>
    </x:xf>
    <x:xf numFmtId="0" fontId="0" fillId="3" borderId="5" xfId="0" applyNumberFormat="1" applyFont="1" applyFill="1" applyBorder="1" applyAlignment="1">
      <x:alignment horizontal="right" vertical="center" wrapText="1"/>
    </x:xf>
    <x:xf numFmtId="200" fontId="0" fillId="3" borderId="7" xfId="0" applyNumberFormat="1" applyFont="1" applyFill="1" applyBorder="1" applyAlignment="1">
      <x:alignment horizontal="right" vertical="center" wrapText="1"/>
    </x:xf>
    <x:xf numFmtId="200" fontId="0" fillId="3" borderId="5" xfId="0" applyNumberFormat="1" applyFont="1" applyFill="1" applyBorder="1" applyAlignment="1">
      <x:alignment horizontal="right" vertical="center" wrapText="1"/>
    </x:xf>
    <x:xf numFmtId="201" fontId="0" fillId="3" borderId="7" xfId="0" applyNumberFormat="1" applyFont="1" applyFill="1" applyBorder="1" applyAlignment="1">
      <x:alignment horizontal="right" vertical="center" wrapText="1"/>
    </x:xf>
    <x:xf numFmtId="201" fontId="0" fillId="3" borderId="5" xfId="0" applyNumberFormat="1" applyFont="1" applyFill="1" applyBorder="1" applyAlignment="1">
      <x:alignment horizontal="right" vertical="center" wrapText="1"/>
    </x:xf>
    <x:xf numFmtId="201" fontId="0" fillId="4" borderId="7" xfId="0" applyNumberFormat="1" applyFont="1" applyFill="1" applyBorder="1" applyAlignment="1">
      <x:alignment horizontal="right" vertical="center" wrapText="1"/>
    </x:xf>
    <x:xf numFmtId="201" fontId="0" fillId="4" borderId="5" xfId="0" applyNumberFormat="1" applyFont="1" applyFill="1" applyBorder="1" applyAlignment="1">
      <x:alignment horizontal="right" vertical="center" wrapText="1"/>
    </x:xf>
    <x:xf numFmtId="0" fontId="0" fillId="4" borderId="7" xfId="0" applyNumberFormat="1" applyFont="1" applyFill="1" applyBorder="1" applyAlignment="1">
      <x:alignment horizontal="right" vertical="center" wrapText="1"/>
    </x:xf>
    <x:xf numFmtId="0" fontId="0" fillId="4" borderId="5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4" borderId="7" xfId="0" applyNumberFormat="1" applyFont="1" applyFill="1" applyBorder="1" applyAlignment="1">
      <x:alignment horizontal="left" vertical="center" wrapText="1"/>
    </x:xf>
    <x:xf numFmtId="0" fontId="0" fillId="4" borderId="5" xfId="0" applyNumberFormat="1" applyFont="1" applyFill="1" applyBorder="1" applyAlignment="1">
      <x:alignment horizontal="left" vertical="center" wrapText="1"/>
    </x:xf>
    <x:xf numFmtId="201" fontId="0" fillId="4" borderId="7" xfId="0" applyNumberFormat="1" applyFont="1" applyFill="1" applyBorder="1" applyAlignment="1">
      <x:alignment horizontal="left" vertical="center" wrapText="1"/>
    </x:xf>
    <x:xf numFmtId="201" fontId="0" fillId="3" borderId="7" xfId="0" applyNumberFormat="1" applyFont="1" applyFill="1" applyBorder="1" applyAlignment="1">
      <x:alignment horizontal="left" vertical="center" wrapText="1"/>
    </x:xf>
    <x:xf numFmtId="201" fontId="0" fillId="4" borderId="5" xfId="0" applyNumberFormat="1" applyFont="1" applyFill="1" applyBorder="1" applyAlignment="1">
      <x:alignment horizontal="left" vertical="center" wrapText="1"/>
    </x:xf>
    <x:xf numFmtId="201" fontId="0" fillId="3" borderId="5" xfId="0" applyNumberFormat="1" applyFont="1" applyFill="1" applyBorder="1" applyAlignment="1">
      <x:alignment horizontal="left" vertical="center" wrapText="1"/>
    </x:xf>
    <x:xf numFmtId="201" fontId="0" fillId="6" borderId="5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2" fontId="0" fillId="4" borderId="7" xfId="0" applyNumberFormat="1" applyFont="1" applyFill="1" applyBorder="1" applyAlignment="1">
      <x:alignment horizontal="left" vertical="center" wrapText="1"/>
    </x:xf>
    <x:xf numFmtId="202" fontId="0" fillId="4" borderId="5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202" fontId="0" fillId="0" borderId="0" xfId="0" applyNumberFormat="1" applyFont="1" applyFill="1" applyBorder="1"/>
    <x:xf numFmtId="203" fontId="0" fillId="4" borderId="7" xfId="0" applyNumberFormat="1" applyFont="1" applyFill="1" applyBorder="1" applyAlignment="1">
      <x:alignment horizontal="left" vertical="center" wrapText="1"/>
    </x:xf>
    <x:xf numFmtId="203" fontId="0" fillId="4" borderId="5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7" xfId="0" applyNumberFormat="1" applyFont="1" applyFill="1" applyBorder="1"/>
    <x:xf numFmtId="0" fontId="5" fillId="6" borderId="12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7" xfId="0" applyNumberFormat="1" applyFont="1" applyFill="1" applyBorder="1"/>
    <x:xf numFmtId="0" fontId="5" fillId="5" borderId="12" xfId="0" applyNumberFormat="1" applyFont="1" applyFill="1" applyBorder="1"/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11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12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3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14" xfId="0" applyNumberFormat="1" applyFont="1" applyFill="1" applyBorder="1" applyAlignment="1">
      <x:alignment horizont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6" xfId="0" applyNumberFormat="1" applyFont="1" applyFill="1" applyBorder="1"/>
    <x:xf numFmtId="0" fontId="6" fillId="3" borderId="4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6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8" xfId="0" applyNumberFormat="1" applyFont="1" applyFill="1" applyBorder="1"/>
    <x:xf numFmtId="0" fontId="5" fillId="7" borderId="10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8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10" xfId="0" applyNumberFormat="1" applyFont="1" applyFill="1" applyBorder="1" applyAlignment="1">
      <x:alignment horizontal="center" wrapText="1"/>
    </x:xf>
    <x:xf numFmtId="0" fontId="5" fillId="7" borderId="13" xfId="0" applyNumberFormat="1" applyFont="1" applyFill="1" applyBorder="1" applyAlignment="1">
      <x:alignment horizontal="center" wrapText="1"/>
    </x:xf>
    <x:xf numFmtId="0" fontId="5" fillId="7" borderId="14" xfId="0" applyNumberFormat="1" applyFont="1" applyFill="1" applyBorder="1" applyAlignment="1">
      <x:alignment horizontal="center" wrapText="1"/>
    </x:xf>
    <x:xf numFmtId="0" fontId="5" fillId="7" borderId="11" xfId="0" applyNumberFormat="1" applyFont="1" applyFill="1" applyBorder="1" applyAlignment="1">
      <x:alignment horizontal="center" wrapText="1"/>
    </x:xf>
    <x:xf numFmtId="0" fontId="5" fillId="7" borderId="12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8" xfId="0" applyNumberFormat="1" applyFont="1" applyFill="1" applyBorder="1"/>
    <x:xf numFmtId="0" fontId="6" fillId="8" borderId="10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11" xfId="0" applyNumberFormat="1" applyFont="1" applyFill="1" applyBorder="1"/>
    <x:xf numFmtId="0" fontId="6" fillId="8" borderId="12" xfId="0" applyNumberFormat="1" applyFont="1" applyFill="1" applyBorder="1"/>
    <x:xf numFmtId="0" fontId="6" fillId="8" borderId="8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wrapText="1"/>
    </x:xf>
    <x:xf numFmtId="0" fontId="6" fillId="8" borderId="13" xfId="0" applyNumberFormat="1" applyFont="1" applyFill="1" applyBorder="1" applyAlignment="1">
      <x:alignment wrapText="1"/>
    </x:xf>
    <x:xf numFmtId="0" fontId="6" fillId="8" borderId="14" xfId="0" applyNumberFormat="1" applyFont="1" applyFill="1" applyBorder="1" applyAlignment="1">
      <x:alignment wrapText="1"/>
    </x:xf>
    <x:xf numFmtId="0" fontId="6" fillId="8" borderId="11" xfId="0" applyNumberFormat="1" applyFont="1" applyFill="1" applyBorder="1" applyAlignment="1">
      <x:alignment wrapText="1"/>
    </x:xf>
    <x:xf numFmtId="0" fontId="6" fillId="8" borderId="12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3" xfId="0" applyNumberFormat="1" applyFont="1" applyFill="1" applyBorder="1" applyAlignment="1">
      <x:alignment horizontal="center" wrapText="1"/>
    </x:xf>
    <x:xf numFmtId="0" fontId="6" fillId="8" borderId="14" xfId="0" applyNumberFormat="1" applyFont="1" applyFill="1" applyBorder="1" applyAlignment="1">
      <x:alignment horizontal="center" wrapText="1"/>
    </x:xf>
    <x:xf numFmtId="0" fontId="6" fillId="8" borderId="11" xfId="0" applyNumberFormat="1" applyFont="1" applyFill="1" applyBorder="1" applyAlignment="1">
      <x:alignment horizontal="center" wrapText="1"/>
    </x:xf>
    <x:xf numFmtId="0" fontId="6" fillId="8" borderId="12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0" fontId="6" fillId="8" borderId="13" xfId="0" applyNumberFormat="1" applyFont="1" applyFill="1" applyBorder="1" applyAlignment="1">
      <x:alignment horizontal="center" vertical="center" wrapText="1"/>
    </x:xf>
    <x:xf numFmtId="0" fontId="6" fillId="8" borderId="14" xfId="0" applyNumberFormat="1" applyFont="1" applyFill="1" applyBorder="1" applyAlignment="1">
      <x:alignment horizontal="center" vertical="center"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0" fontId="6" fillId="8" borderId="12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1" xfId="0" applyNumberFormat="1" applyFont="1" applyFill="1" applyBorder="1"/>
    <x:xf numFmtId="0" fontId="6" fillId="6" borderId="7" xfId="0" applyNumberFormat="1" applyFont="1" applyFill="1" applyBorder="1"/>
    <x:xf numFmtId="0" fontId="6" fillId="6" borderId="12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14" xfId="0" applyNumberFormat="1" applyFont="1" applyFill="1" applyBorder="1" applyAlignment="1">
      <x:alignment horizontal="center" wrapText="1"/>
    </x:xf>
    <x:xf numFmtId="0" fontId="6" fillId="6" borderId="11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12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6" fillId="6" borderId="11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6" fillId="7" borderId="14" xfId="0" applyNumberFormat="1" applyFont="1" applyFill="1" applyBorder="1" applyAlignment="1">
      <x:alignment horizontal="center" vertic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horizontal="left" vertical="center" wrapText="1"/>
    </x:xf>
    <x:xf numFmtId="0" fontId="7" fillId="4" borderId="7" xfId="0" applyNumberFormat="1" applyFont="1" applyFill="1" applyBorder="1" applyAlignment="1">
      <x:alignment horizontal="right" vertical="center" wrapText="1"/>
    </x:xf>
    <x:xf numFmtId="200" fontId="7" fillId="3" borderId="7" xfId="0" applyNumberFormat="1" applyFont="1" applyFill="1" applyBorder="1" applyAlignment="1">
      <x:alignment horizontal="right" vertical="center" wrapText="1"/>
    </x:xf>
    <x:xf numFmtId="201" fontId="7" fillId="4" borderId="7" xfId="0" applyNumberFormat="1" applyFont="1" applyFill="1" applyBorder="1" applyAlignment="1">
      <x:alignment horizontal="right" vertical="center" wrapText="1"/>
    </x:xf>
    <x:xf numFmtId="201" fontId="7" fillId="3" borderId="7" xfId="0" applyNumberFormat="1" applyFont="1" applyFill="1" applyBorder="1" applyAlignment="1">
      <x:alignment horizontal="right" vertical="center" wrapText="1"/>
    </x:xf>
    <x:xf numFmtId="0" fontId="9" fillId="3" borderId="7" xfId="0" applyNumberFormat="1" applyFont="1" applyFill="1" applyBorder="1" applyAlignment="1">
      <x:alignment horizontal="left" vertical="center" wrapText="1"/>
    </x:xf>
    <x:xf numFmtId="0" fontId="7" fillId="3" borderId="5" xfId="0" applyNumberFormat="1" applyFont="1" applyFill="1" applyBorder="1" applyAlignment="1">
      <x:alignment horizontal="left" vertical="center" wrapText="1"/>
    </x:xf>
    <x:xf numFmtId="0" fontId="7" fillId="4" borderId="5" xfId="0" applyNumberFormat="1" applyFont="1" applyFill="1" applyBorder="1" applyAlignment="1">
      <x:alignment horizontal="right" vertical="center" wrapText="1"/>
    </x:xf>
    <x:xf numFmtId="200" fontId="7" fillId="3" borderId="5" xfId="0" applyNumberFormat="1" applyFont="1" applyFill="1" applyBorder="1" applyAlignment="1">
      <x:alignment horizontal="right" vertical="center" wrapText="1"/>
    </x:xf>
    <x:xf numFmtId="201" fontId="7" fillId="4" borderId="5" xfId="0" applyNumberFormat="1" applyFont="1" applyFill="1" applyBorder="1" applyAlignment="1">
      <x:alignment horizontal="right" vertical="center" wrapText="1"/>
    </x:xf>
    <x:xf numFmtId="201" fontId="7" fillId="3" borderId="5" xfId="0" applyNumberFormat="1" applyFont="1" applyFill="1" applyBorder="1" applyAlignment="1">
      <x:alignment horizontal="right" vertical="center" wrapText="1"/>
    </x:xf>
    <x:xf numFmtId="0" fontId="9" fillId="3" borderId="5" xfId="0" applyNumberFormat="1" applyFont="1" applyFill="1" applyBorder="1" applyAlignment="1">
      <x:alignment horizontal="left" vertical="center" wrapText="1"/>
    </x:xf>
    <x:xf numFmtId="201" fontId="7" fillId="6" borderId="5" xfId="0" applyNumberFormat="1" applyFont="1" applyFill="1" applyBorder="1" applyAlignment="1">
      <x:alignment horizontal="right" vertical="center" wrapText="1"/>
    </x:xf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8" fillId="3" borderId="7" xfId="0" applyNumberFormat="1" applyFont="1" applyFill="1" applyBorder="1" applyAlignment="1">
      <x:alignment horizontal="left" vertical="center" wrapText="1"/>
    </x:xf>
    <x:xf numFmtId="0" fontId="8" fillId="4" borderId="7" xfId="0" applyNumberFormat="1" applyFont="1" applyFill="1" applyBorder="1" applyAlignment="1">
      <x:alignment horizontal="right" vertical="center" wrapText="1"/>
    </x:xf>
    <x:xf numFmtId="200" fontId="8" fillId="3" borderId="7" xfId="0" applyNumberFormat="1" applyFont="1" applyFill="1" applyBorder="1" applyAlignment="1">
      <x:alignment horizontal="right" vertical="center" wrapText="1"/>
    </x:xf>
    <x:xf numFmtId="201" fontId="8" fillId="4" borderId="7" xfId="0" applyNumberFormat="1" applyFont="1" applyFill="1" applyBorder="1" applyAlignment="1">
      <x:alignment horizontal="right" vertical="center" wrapText="1"/>
    </x:xf>
    <x:xf numFmtId="201" fontId="8" fillId="3" borderId="7" xfId="0" applyNumberFormat="1" applyFont="1" applyFill="1" applyBorder="1" applyAlignment="1">
      <x:alignment horizontal="right" vertical="center" wrapText="1"/>
    </x:xf>
    <x:xf numFmtId="0" fontId="10" fillId="3" borderId="7" xfId="0" applyNumberFormat="1" applyFont="1" applyFill="1" applyBorder="1" applyAlignment="1">
      <x:alignment horizontal="left" vertical="center" wrapText="1"/>
    </x:xf>
    <x:xf numFmtId="0" fontId="8" fillId="3" borderId="5" xfId="0" applyNumberFormat="1" applyFont="1" applyFill="1" applyBorder="1" applyAlignment="1">
      <x:alignment horizontal="left" vertical="center" wrapText="1"/>
    </x:xf>
    <x:xf numFmtId="0" fontId="8" fillId="4" borderId="5" xfId="0" applyNumberFormat="1" applyFont="1" applyFill="1" applyBorder="1" applyAlignment="1">
      <x:alignment horizontal="right" vertical="center" wrapText="1"/>
    </x:xf>
    <x:xf numFmtId="200" fontId="8" fillId="3" borderId="5" xfId="0" applyNumberFormat="1" applyFont="1" applyFill="1" applyBorder="1" applyAlignment="1">
      <x:alignment horizontal="right" vertical="center" wrapText="1"/>
    </x:xf>
    <x:xf numFmtId="201" fontId="8" fillId="4" borderId="5" xfId="0" applyNumberFormat="1" applyFont="1" applyFill="1" applyBorder="1" applyAlignment="1">
      <x:alignment horizontal="right" vertical="center" wrapText="1"/>
    </x:xf>
    <x:xf numFmtId="201" fontId="8" fillId="3" borderId="5" xfId="0" applyNumberFormat="1" applyFont="1" applyFill="1" applyBorder="1" applyAlignment="1">
      <x:alignment horizontal="right" vertical="center" wrapText="1"/>
    </x:xf>
    <x:xf numFmtId="0" fontId="10" fillId="3" borderId="5" xfId="0" applyNumberFormat="1" applyFont="1" applyFill="1" applyBorder="1" applyAlignment="1">
      <x:alignment horizontal="left" vertical="center" wrapText="1"/>
    </x:xf>
    <x:xf numFmtId="201" fontId="8" fillId="6" borderId="5" xfId="0" applyNumberFormat="1" applyFont="1" applyFill="1" applyBorder="1" applyAlignment="1">
      <x:alignment horizontal="right" vertical="center" wrapText="1"/>
    </x:xf>
    <x:xf numFmtId="0" fontId="8" fillId="5" borderId="0" xfId="0" applyNumberFormat="1" applyFont="1" applyFill="1" applyBorder="1"/>
    <x:xf numFmtId="20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 wrapText="1"/>
    </x:xf>
    <x:xf numFmtId="200" fontId="8" fillId="5" borderId="0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horizontal="left" vertical="center" wrapText="1"/>
    </x:xf>
    <x:xf numFmtId="201" fontId="7" fillId="4" borderId="7" xfId="0" applyNumberFormat="1" applyFont="1" applyFill="1" applyBorder="1" applyAlignment="1">
      <x:alignment horizontal="left" vertical="center" wrapText="1"/>
    </x:xf>
    <x:xf numFmtId="201" fontId="7" fillId="3" borderId="7" xfId="0" applyNumberFormat="1" applyFont="1" applyFill="1" applyBorder="1" applyAlignment="1">
      <x:alignment horizontal="left" vertical="center" wrapText="1"/>
    </x:xf>
    <x:xf numFmtId="0" fontId="7" fillId="4" borderId="5" xfId="0" applyNumberFormat="1" applyFont="1" applyFill="1" applyBorder="1" applyAlignment="1">
      <x:alignment horizontal="left" vertical="center" wrapText="1"/>
    </x:xf>
    <x:xf numFmtId="201" fontId="7" fillId="4" borderId="5" xfId="0" applyNumberFormat="1" applyFont="1" applyFill="1" applyBorder="1" applyAlignment="1">
      <x:alignment horizontal="left" vertical="center" wrapText="1"/>
    </x:xf>
    <x:xf numFmtId="201" fontId="7" fillId="3" borderId="5" xfId="0" applyNumberFormat="1" applyFont="1" applyFill="1" applyBorder="1" applyAlignment="1">
      <x:alignment horizontal="left" vertical="center" wrapText="1"/>
    </x:xf>
    <x:xf numFmtId="201" fontId="7" fillId="5" borderId="0" xfId="0" applyNumberFormat="1" applyFont="1" applyFill="1" applyBorder="1"/>
    <x:xf numFmtId="0" fontId="8" fillId="4" borderId="7" xfId="0" applyNumberFormat="1" applyFont="1" applyFill="1" applyBorder="1" applyAlignment="1">
      <x:alignment horizontal="left" vertical="center" wrapText="1"/>
    </x:xf>
    <x:xf numFmtId="201" fontId="8" fillId="4" borderId="7" xfId="0" applyNumberFormat="1" applyFont="1" applyFill="1" applyBorder="1" applyAlignment="1">
      <x:alignment horizontal="left" vertical="center" wrapText="1"/>
    </x:xf>
    <x:xf numFmtId="201" fontId="8" fillId="3" borderId="7" xfId="0" applyNumberFormat="1" applyFont="1" applyFill="1" applyBorder="1" applyAlignment="1">
      <x:alignment horizontal="left" vertical="center" wrapText="1"/>
    </x:xf>
    <x:xf numFmtId="0" fontId="8" fillId="4" borderId="5" xfId="0" applyNumberFormat="1" applyFont="1" applyFill="1" applyBorder="1" applyAlignment="1">
      <x:alignment horizontal="left" vertical="center" wrapText="1"/>
    </x:xf>
    <x:xf numFmtId="201" fontId="8" fillId="4" borderId="5" xfId="0" applyNumberFormat="1" applyFont="1" applyFill="1" applyBorder="1" applyAlignment="1">
      <x:alignment horizontal="left" vertical="center" wrapText="1"/>
    </x:xf>
    <x:xf numFmtId="201" fontId="8" fillId="3" borderId="5" xfId="0" applyNumberFormat="1" applyFont="1" applyFill="1" applyBorder="1" applyAlignment="1">
      <x:alignment horizontal="left" vertical="center" wrapText="1"/>
    </x:xf>
    <x:xf numFmtId="201" fontId="8" fillId="5" borderId="0" xfId="0" applyNumberFormat="1" applyFont="1" applyFill="1" applyBorder="1"/>
    <x:xf numFmtId="201" fontId="8" fillId="5" borderId="0" xfId="0" applyNumberFormat="1" applyFont="1" applyFill="1" applyBorder="1" applyAlignment="1">
      <x:alignment vertical="center"/>
    </x:xf>
    <x:xf numFmtId="201" fontId="8" fillId="5" borderId="0" xfId="0" applyNumberFormat="1" applyFont="1" applyFill="1" applyBorder="1" applyAlignment="1">
      <x:alignment vertical="center" wrapText="1"/>
    </x:xf>
    <x:xf numFmtId="202" fontId="7" fillId="4" borderId="7" xfId="0" applyNumberFormat="1" applyFont="1" applyFill="1" applyBorder="1" applyAlignment="1">
      <x:alignment horizontal="left" vertical="center" wrapText="1"/>
    </x:xf>
    <x:xf numFmtId="202" fontId="7" fillId="4" borderId="5" xfId="0" applyNumberFormat="1" applyFont="1" applyFill="1" applyBorder="1" applyAlignment="1">
      <x:alignment horizontal="left" vertical="center" wrapText="1"/>
    </x:xf>
    <x:xf numFmtId="202" fontId="8" fillId="4" borderId="7" xfId="0" applyNumberFormat="1" applyFont="1" applyFill="1" applyBorder="1" applyAlignment="1">
      <x:alignment horizontal="left" vertical="center" wrapText="1"/>
    </x:xf>
    <x:xf numFmtId="202" fontId="8" fillId="4" borderId="5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7" fillId="0" borderId="0" xfId="0" applyNumberFormat="1" applyFont="1" applyFill="1" applyBorder="1"/>
    <x:xf numFmtId="0" fontId="8" fillId="4" borderId="0" xfId="0" applyNumberFormat="1" applyFont="1" applyFill="1" applyBorder="1"/>
    <x:xf numFmtId="202" fontId="8" fillId="4" borderId="0" xfId="0" applyNumberFormat="1" applyFont="1" applyFill="1" applyBorder="1"/>
    <x:xf numFmtId="202" fontId="8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203" fontId="7" fillId="4" borderId="7" xfId="0" applyNumberFormat="1" applyFont="1" applyFill="1" applyBorder="1" applyAlignment="1">
      <x:alignment horizontal="left" vertical="center" wrapText="1"/>
    </x:xf>
    <x:xf numFmtId="203" fontId="7" fillId="4" borderId="5" xfId="0" applyNumberFormat="1" applyFont="1" applyFill="1" applyBorder="1" applyAlignment="1">
      <x:alignment horizontal="left" vertical="center" wrapText="1"/>
    </x:xf>
    <x:xf numFmtId="203" fontId="8" fillId="4" borderId="7" xfId="0" applyNumberFormat="1" applyFont="1" applyFill="1" applyBorder="1" applyAlignment="1">
      <x:alignment horizontal="left" vertical="center" wrapText="1"/>
    </x:xf>
    <x:xf numFmtId="203" fontId="8" fillId="4" borderId="5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4" fontId="8" fillId="4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205" fontId="11" fillId="0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horizontal="right" vertical="center" wrapText="1"/>
    </x:xf>
    <x:xf numFmtId="205" fontId="11" fillId="0" borderId="0" xfId="0" applyNumberFormat="1" applyFont="1" applyFill="1" applyBorder="1" applyAlignment="1">
      <x:alignment horizontal="right" vertical="center" wrapText="1"/>
    </x:xf>
    <x:xf numFmtId="0" fontId="11" fillId="0" borderId="0" xfId="0" applyNumberFormat="1" applyFont="1" applyFill="1" applyBorder="1" applyAlignment="1">
      <x:alignment horizontal="right" vertical="center" wrapText="1"/>
    </x:xf>
    <x:xf numFmtId="200" fontId="11" fillId="9" borderId="0" xfId="0" applyNumberFormat="1" applyFont="1" applyFill="1" applyBorder="1" applyAlignment="1">
      <x:alignment vertical="center" wrapText="1"/>
    </x:xf>
    <x:xf numFmtId="203" fontId="11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200" fontId="11" fillId="11" borderId="0" xfId="0" applyNumberFormat="1" applyFont="1" applyFill="1" applyBorder="1" applyAlignment="1">
      <x:alignment horizontal="right" vertical="center" wrapText="1"/>
    </x:xf>
    <x:xf numFmtId="205" fontId="11" fillId="11" borderId="0" xfId="0" applyNumberFormat="1" applyFont="1" applyFill="1" applyBorder="1" applyAlignment="1">
      <x:alignment horizontal="right"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200" fontId="11" fillId="12" borderId="0" xfId="0" applyNumberFormat="1" applyFont="1" applyFill="1" applyBorder="1" applyAlignment="1">
      <x:alignment horizontal="right" vertical="center" wrapText="1"/>
    </x:xf>
    <x:xf numFmtId="205" fontId="11" fillId="12" borderId="0" xfId="0" applyNumberFormat="1" applyFont="1" applyFill="1" applyBorder="1" applyAlignment="1">
      <x:alignment horizontal="right"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206" fontId="11" fillId="0" borderId="0" xfId="0" applyNumberFormat="1" applyFont="1" applyFill="1" applyBorder="1" applyAlignment="1">
      <x:alignment vertical="center" wrapText="1"/>
    </x:xf>
    <x:xf numFmtId="0" fontId="11" fillId="15" borderId="0" xfId="0" applyNumberFormat="1" applyFont="1" applyFill="1" applyBorder="1" applyAlignment="1">
      <x:alignment vertical="center" wrapText="1"/>
    </x:xf>
    <x:xf numFmtId="206" fontId="11" fillId="15" borderId="0" xfId="0" applyNumberFormat="1" applyFont="1" applyFill="1" applyBorder="1" applyAlignment="1">
      <x:alignment vertical="center" wrapText="1"/>
    </x:xf>
    <x:xf numFmtId="200" fontId="11" fillId="13" borderId="0" xfId="0" applyNumberFormat="1" applyFont="1" applyFill="1" applyBorder="1" applyAlignment="1">
      <x:alignment vertical="center" wrapText="1"/>
    </x:xf>
    <x:xf numFmtId="207" fontId="11" fillId="0" borderId="0" xfId="0" applyNumberFormat="1" applyFont="1" applyFill="1" applyBorder="1" applyAlignment="1">
      <x:alignment vertical="center" wrapText="1"/>
    </x:xf>
    <x:xf numFmtId="208" fontId="11" fillId="0" borderId="0" xfId="0" applyNumberFormat="1" applyFont="1" applyFill="1" applyBorder="1" applyAlignment="1">
      <x:alignment vertical="center" wrapText="1"/>
    </x:xf>
    <x:xf numFmtId="208" fontId="11" fillId="13" borderId="0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horizontal="center" vertical="center" wrapText="1"/>
    </x:xf>
    <x:xf numFmtId="0" fontId="12" fillId="13" borderId="0" xfId="0" applyNumberFormat="1" applyFont="1" applyFill="1" applyBorder="1" applyAlignment="1">
      <x:alignment horizontal="center" vertical="center" wrapText="1"/>
    </x:xf>
    <x:xf numFmtId="207" fontId="8" fillId="4" borderId="0" xfId="0" applyNumberFormat="1" applyFont="1" applyFill="1" applyBorder="1" applyAlignment="1">
      <x:alignment vertical="center" wrapText="1"/>
    </x:xf>
    <x:xf numFmtId="209" fontId="8" fillId="4" borderId="0" xfId="0" applyNumberFormat="1" applyFont="1" applyFill="1" applyBorder="1" applyAlignment="1">
      <x:alignment vertical="center" wrapText="1"/>
    </x:xf>
    <x:xf numFmtId="207" fontId="8" fillId="0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11" fillId="17" borderId="0" xfId="0" applyNumberFormat="1" applyFont="1" applyFill="1" applyBorder="1" applyAlignment="1">
      <x:alignment vertical="center" wrapText="1"/>
    </x:xf>
    <x:xf numFmtId="0" fontId="11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11" fillId="19" borderId="0" xfId="0" applyNumberFormat="1" applyFont="1" applyFill="1" applyBorder="1" applyAlignment="1">
      <x:alignment vertical="center" wrapText="1"/>
    </x:xf>
    <x:xf numFmtId="206" fontId="11" fillId="19" borderId="0" xfId="0" applyNumberFormat="1" applyFont="1" applyFill="1" applyBorder="1" applyAlignment="1">
      <x:alignment vertical="center" wrapText="1"/>
    </x:xf>
    <x:xf numFmtId="200" fontId="11" fillId="17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1" fillId="20" borderId="0" xfId="0" applyNumberFormat="1" applyFont="1" applyFill="1" applyBorder="1" applyAlignment="1">
      <x:alignment vertical="center" wrapText="1"/>
    </x:xf>
    <x:xf numFmtId="0" fontId="11" fillId="21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11" fillId="22" borderId="0" xfId="0" applyNumberFormat="1" applyFont="1" applyFill="1" applyBorder="1" applyAlignment="1">
      <x:alignment vertical="center" wrapText="1"/>
    </x:xf>
    <x:xf numFmtId="206" fontId="11" fillId="22" borderId="0" xfId="0" applyNumberFormat="1" applyFont="1" applyFill="1" applyBorder="1" applyAlignment="1">
      <x:alignment vertical="center" wrapText="1"/>
    </x:xf>
    <x:xf numFmtId="200" fontId="11" fillId="20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0" fillId="22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1" fillId="23" borderId="0" xfId="0" applyNumberFormat="1" applyFont="1" applyFill="1" applyBorder="1" applyAlignment="1">
      <x:alignment vertical="center" wrapText="1"/>
    </x:xf>
    <x:xf numFmtId="0" fontId="11" fillId="24" borderId="0" xfId="0" applyNumberFormat="1" applyFont="1" applyFill="1" applyBorder="1" applyAlignment="1">
      <x:alignment vertical="center" wrapText="1"/>
    </x:xf>
    <x:xf numFmtId="0" fontId="3" fillId="24" borderId="0" xfId="0" applyNumberFormat="1" applyFont="1" applyFill="1" applyBorder="1" applyAlignment="1">
      <x:alignment vertic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11" fillId="25" borderId="0" xfId="0" applyNumberFormat="1" applyFont="1" applyFill="1" applyBorder="1" applyAlignment="1">
      <x:alignment vertical="center" wrapText="1"/>
    </x:xf>
    <x:xf numFmtId="206" fontId="11" fillId="25" borderId="0" xfId="0" applyNumberFormat="1" applyFont="1" applyFill="1" applyBorder="1" applyAlignment="1">
      <x:alignment vertical="center" wrapText="1"/>
    </x:xf>
    <x:xf numFmtId="200" fontId="11" fillId="23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1" fillId="26" borderId="0" xfId="0" applyNumberFormat="1" applyFont="1" applyFill="1" applyBorder="1" applyAlignment="1">
      <x:alignment vertical="center" wrapText="1"/>
    </x:xf>
    <x:xf numFmtId="0" fontId="11" fillId="27" borderId="0" xfId="0" applyNumberFormat="1" applyFont="1" applyFill="1" applyBorder="1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3" fillId="27" borderId="0" xfId="0" applyNumberFormat="1" applyFont="1" applyFill="1" applyBorder="1" applyAlignment="1">
      <x:alignment horizontal="center" vertical="center" wrapText="1"/>
    </x:xf>
    <x:xf numFmtId="0" fontId="11" fillId="28" borderId="0" xfId="0" applyNumberFormat="1" applyFont="1" applyFill="1" applyBorder="1" applyAlignment="1">
      <x:alignment vertical="center" wrapText="1"/>
    </x:xf>
    <x:xf numFmtId="206" fontId="11" fillId="28" borderId="0" xfId="0" applyNumberFormat="1" applyFont="1" applyFill="1" applyBorder="1" applyAlignment="1">
      <x:alignment vertical="center" wrapText="1"/>
    </x:xf>
    <x:xf numFmtId="200" fontId="11" fillId="26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0" fillId="28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11" fillId="29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3" fillId="30" borderId="0" xfId="0" applyNumberFormat="1" applyFont="1" applyFill="1" applyBorder="1" applyAlignment="1">
      <x:alignment vertical="center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11" fillId="31" borderId="0" xfId="0" applyNumberFormat="1" applyFont="1" applyFill="1" applyBorder="1" applyAlignment="1">
      <x:alignment vertical="center" wrapText="1"/>
    </x:xf>
    <x:xf numFmtId="206" fontId="11" fillId="31" borderId="0" xfId="0" applyNumberFormat="1" applyFont="1" applyFill="1" applyBorder="1" applyAlignment="1">
      <x:alignment vertical="center" wrapText="1"/>
    </x:xf>
    <x:xf numFmtId="200" fontId="11" fillId="29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0" fillId="31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11" fillId="5" borderId="0" xfId="0" applyNumberFormat="1" applyFont="1" applyFill="1" applyBorder="1" applyAlignment="1">
      <x:alignment vertical="center" wrapText="1"/>
    </x:xf>
    <x:xf numFmtId="206" fontId="1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6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EF5FB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EF5FB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EF5FB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EF5FB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EF5FB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ea0a4108f4cfc" /><Relationship Type="http://schemas.openxmlformats.org/officeDocument/2006/relationships/theme" Target="/xl/theme/theme1.xml" Id="R1207165e72ae444b" /><Relationship Type="http://schemas.openxmlformats.org/officeDocument/2006/relationships/sharedStrings" Target="/xl/sharedStrings.xml" Id="R791dd35436a74707" /><Relationship Type="http://schemas.openxmlformats.org/officeDocument/2006/relationships/worksheet" Target="/xl/worksheets/sheet1.xml" Id="R31d73337780d48ba" /><Relationship Type="http://schemas.openxmlformats.org/officeDocument/2006/relationships/worksheet" Target="/xl/worksheets/sheet2.xml" Id="Rf31d9b014e754f34" /><Relationship Type="http://schemas.openxmlformats.org/officeDocument/2006/relationships/worksheet" Target="/xl/worksheets/sheet3.xml" Id="R3accf66667124335" /><Relationship Type="http://schemas.openxmlformats.org/officeDocument/2006/relationships/worksheet" Target="/xl/worksheets/sheet4.xml" Id="R9e4b6649198240fe" /><Relationship Type="http://schemas.openxmlformats.org/officeDocument/2006/relationships/worksheet" Target="/xl/worksheets/sheet5.xml" Id="Re071106045744ce1" /><Relationship Type="http://schemas.openxmlformats.org/officeDocument/2006/relationships/worksheet" Target="/xl/worksheets/sheet6.xml" Id="R5233e046014d4d90" /><Relationship Type="http://schemas.openxmlformats.org/officeDocument/2006/relationships/worksheet" Target="/xl/worksheets/sheet7.xml" Id="R0b5af8ddf3af4b4b" /><Relationship Type="http://schemas.openxmlformats.org/officeDocument/2006/relationships/worksheet" Target="/xl/worksheets/sheet8.xml" Id="R87869fa9fe3f4051" /><Relationship Type="http://schemas.openxmlformats.org/officeDocument/2006/relationships/worksheet" Target="/xl/worksheets/sheet9.xml" Id="R425dcf6d1adf46ec" /></Relationships>
</file>

<file path=xl/tables/table1.xml><?xml version="1.0" encoding="utf-8"?>
<x:table xmlns:x="http://schemas.openxmlformats.org/spreadsheetml/2006/main" id="11" name="ProcurementTable" displayName="ProcurementTable" ref="A6:P28" headerRowCount="1" totalsRowCount="0" totalsRowShown="0">
  <x:tableColumns count="16">
    <x:tableColumn id="1" name="阶段"/>
    <x:tableColumn id="2" name="优先级"/>
    <x:tableColumn id="3" name="角色/点位"/>
    <x:tableColumn id="4" name="型号/规格"/>
    <x:tableColumn id="5" name="数量/待复尺"/>
    <x:tableColumn id="6" name="选型状态"/>
    <x:tableColumn id="7" name="参考单价USD"/>
    <x:tableColumn id="8" name="参考小计USD"/>
    <x:tableColumn id="9" name="关键规格与用途"/>
    <x:tableColumn id="10" name="供电/PoE"/>
    <x:tableColumn id="11" name="端口/介质"/>
    <x:tableColumn id="12" name="要求/注意事项"/>
    <x:tableColumn id="13" name="采购进度"/>
    <x:tableColumn id="14" name="实报单价CNY"/>
    <x:tableColumn id="15" name="实报小计CNY"/>
    <x:tableColumn id="16" name="Amazon/官方入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ringTable" displayName="WiringTable" ref="A5:P26" headerRowCount="1" totalsRowCount="0" totalsRowShown="0">
  <x:autoFilter ref="A5:P26"/>
  <x:tableColumns count="16">
    <x:tableColumn id="1" name="编号"/>
    <x:tableColumn id="2" name="区域"/>
    <x:tableColumn id="3" name="材料/设计项"/>
    <x:tableColumn id="4" name="基线数量"/>
    <x:tableColumn id="5" name="复尺/采购口径"/>
    <x:tableColumn id="6" name="功能要求"/>
    <x:tableColumn id="7" name="施工要求"/>
    <x:tableColumn id="8" name="电源/PoE"/>
    <x:tableColumn id="9" name="阶段"/>
    <x:tableColumn id="10" name="备注"/>
    <x:tableColumn id="11" name="计价单位"/>
    <x:tableColumn id="12" name="实测/订购量"/>
    <x:tableColumn id="13" name="单价CNY"/>
    <x:tableColumn id="14" name="金额CNY"/>
    <x:tableColumn id="15" name="确认/供应商"/>
    <x:tableColumn id="16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nkSchedule" displayName="LinkSchedule" ref="A5:M23" headerRowCount="1" totalsRowCount="0" totalsRowShown="0">
  <x:autoFilter ref="A5:M23"/>
  <x:tableColumns count="13">
    <x:tableColumn id="1" name="线缆ID"/>
    <x:tableColumn id="2" name="起点（逻辑）"/>
    <x:tableColumn id="3" name="终点/网络点"/>
    <x:tableColumn id="4" name="介质"/>
    <x:tableColumn id="5" name="速率/供电"/>
    <x:tableColumn id="6" name="范围"/>
    <x:tableColumn id="7" name="施工/接法要求"/>
    <x:tableColumn id="8" name="实测长度m"/>
    <x:tableColumn id="9" name="订购长度m"/>
    <x:tableColumn id="10" name="起端端接/物理口"/>
    <x:tableColumn id="11" name="终端端接/物理口"/>
    <x:tableColumn id="12" name="施工状态"/>
    <x:tableColumn id="13" name="图纸编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thTable" displayName="PathTable" ref="A5:H20" headerRowCount="1" totalsRowCount="0" totalsRowShown="0">
  <x:autoFilter ref="A5:H20"/>
  <x:tableColumns count="8">
    <x:tableColumn id="1" name="编号"/>
    <x:tableColumn id="2" name="区域"/>
    <x:tableColumn id="3" name="上游"/>
    <x:tableColumn id="4" name="下游"/>
    <x:tableColumn id="5" name="目标速率/供电"/>
    <x:tableColumn id="6" name="介质/路径"/>
    <x:tableColumn id="7" name="设计说明"/>
    <x:tableColumn id="8" name="边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rtPlanTable" displayName="PortPlanTable" ref="A24:F41" headerRowCount="1" totalsRowCount="0" totalsRowShown="0">
  <x:autoFilter ref="A24:F41"/>
  <x:tableColumns count="6">
    <x:tableColumn id="1" name="交换机"/>
    <x:tableColumn id="2" name="逻辑标签"/>
    <x:tableColumn id="3" name="用途"/>
    <x:tableColumn id="4" name="速率"/>
    <x:tableColumn id="5" name="PoE"/>
    <x:tableColumn id="6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Table" displayName="ConfigTable" ref="A46:F59" headerRowCount="1" totalsRowCount="0" totalsRowShown="0">
  <x:autoFilter ref="A46:F59"/>
  <x:tableColumns count="6">
    <x:tableColumn id="1" name="编号"/>
    <x:tableColumn id="2" name="对象"/>
    <x:tableColumn id="3" name="配置项"/>
    <x:tableColumn id="4" name="要求"/>
    <x:tableColumn id="5" name="阶段"/>
    <x:tableColumn id="6" name="负责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patibilityTable" displayName="CompatibilityTable" ref="A5:H16" headerRowCount="1" totalsRowCount="0" totalsRowShown="0">
  <x:autoFilter ref="A5:H16"/>
  <x:tableColumns count="8">
    <x:tableColumn id="1" name="编号"/>
    <x:tableColumn id="2" name="对象"/>
    <x:tableColumn id="3" name="候选/决定"/>
    <x:tableColumn id="4" name="关键规格"/>
    <x:tableColumn id="5" name="核验要点"/>
    <x:tableColumn id="6" name="阶段"/>
    <x:tableColumn id="7" name="状态"/>
    <x:tableColumn id="8" name="来源/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Table" displayName="PhaseTable" ref="A5:J17" headerRowCount="1" totalsRowCount="0" totalsRowShown="0">
  <x:autoFilter ref="A5:J17"/>
  <x:tableColumns count="10">
    <x:tableColumn id="1" name="编号"/>
    <x:tableColumn id="2" name="阶段"/>
    <x:tableColumn id="3" name="任务"/>
    <x:tableColumn id="4" name="执行内容"/>
    <x:tableColumn id="5" name="验收证据/通过条件"/>
    <x:tableColumn id="6" name="负责人"/>
    <x:tableColumn id="7" name="状态"/>
    <x:tableColumn id="8" name="完成/验收日期"/>
    <x:tableColumn id="9" name="证据/报告路径"/>
    <x:tableColumn id="10" name="遗留问题/签字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finitionsTable" displayName="DefinitionsTable" ref="A5:B13" headerRowCount="1" totalsRowCount="0" totalsRowShown="0">
  <x:autoFilter ref="A5:B13"/>
  <x:tableColumns count="2">
    <x:tableColumn id="1" name="术语"/>
    <x:tableColumn id="2" name="定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" name="SourcesTable" displayName="SourcesTable" ref="A17:D34" headerRowCount="1" totalsRowCount="0" totalsRowShown="0">
  <x:tableColumns count="4">
    <x:tableColumn id="1" name="来源"/>
    <x:tableColumn id="2" name="链接/路径"/>
    <x:tableColumn id="3" name="用途"/>
    <x:tableColumn id="4" name="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amazon.com/dp/B0H4P7XX8G" TargetMode="External" Id="Re14789e4103b4545" /><Relationship Type="http://schemas.openxmlformats.org/officeDocument/2006/relationships/hyperlink" Target="https://www.amazon.com/dp/B0GKQ5SD2L" TargetMode="External" Id="R5ef49ef5dc8544b4" /><Relationship Type="http://schemas.openxmlformats.org/officeDocument/2006/relationships/hyperlink" Target="https://www.amazon.com/dp/B0HB17QTKX" TargetMode="External" Id="Ra69412d392804def" /><Relationship Type="http://schemas.openxmlformats.org/officeDocument/2006/relationships/hyperlink" Target="https://www.amazon.com/dp/B0GKQ5SD2L" TargetMode="External" Id="R20314eb753de40d1" /><Relationship Type="http://schemas.openxmlformats.org/officeDocument/2006/relationships/hyperlink" Target="https://www.amazon.com/dp/B0G88FG4QH" TargetMode="External" Id="R545354bace2f4465" /><Relationship Type="http://schemas.openxmlformats.org/officeDocument/2006/relationships/hyperlink" Target="https://www.amazon.com/dp/B0D2M26NYW" TargetMode="External" Id="R89fa412f9f5d4dae" /><Relationship Type="http://schemas.openxmlformats.org/officeDocument/2006/relationships/hyperlink" Target="https://www.tp-link.com/us/home-networking/pci-adapter/tx201/#specifications" TargetMode="External" Id="R978fa9b468174d39" /><Relationship Type="http://schemas.openxmlformats.org/officeDocument/2006/relationships/hyperlink" Target="https://www.amazon.com/dp/B0C54CPVXV" TargetMode="External" Id="Ra2eae6ad42f2419b" /><Relationship Type="http://schemas.openxmlformats.org/officeDocument/2006/relationships/hyperlink" Target="https://www.amazon.com/dp/B0B12N5SJN" TargetMode="External" Id="Rdd429ff31f994131" /><Relationship Type="http://schemas.openxmlformats.org/officeDocument/2006/relationships/hyperlink" Target="https://www.amazon.com/dp/B0HKQ8ZPML" TargetMode="External" Id="R6df3414430624e38" /><Relationship Type="http://schemas.openxmlformats.org/officeDocument/2006/relationships/table" Target="/xl/tables/table1.xml" Id="R0f505a662d2649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f7b23d397d42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6356899fb24e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3cf4278dfe4205" /><Relationship Type="http://schemas.openxmlformats.org/officeDocument/2006/relationships/table" Target="/xl/tables/table5.xml" Id="R9583105e04014652" /><Relationship Type="http://schemas.openxmlformats.org/officeDocument/2006/relationships/table" Target="/xl/tables/table6.xml" Id="R65f59e4b7f2444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www.tp-link.com/us/home-networking/pci-adapter/tx201/#specifications" TargetMode="External" Id="Rbf845505fe1649c8" /><Relationship Type="http://schemas.openxmlformats.org/officeDocument/2006/relationships/table" Target="/xl/tables/table7.xml" Id="Rf84af2d22bd14f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22847a7d9604f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www.tp-link.com/productpages/spec/116210-3.html" TargetMode="External" Id="Raaa036c0d5204b61" /><Relationship Type="http://schemas.openxmlformats.org/officeDocument/2006/relationships/hyperlink" Target="https://www.omadanetworks.com/us/business-networking/omada-switch-agile/es210xpp-m2/#specifications" TargetMode="External" Id="Rc0d5bdcfbd9a4148" /><Relationship Type="http://schemas.openxmlformats.org/officeDocument/2006/relationships/hyperlink" Target="https://www.omadanetworks.com/us/business-networking/omada-switch-agile/es206xpp-m2/#specifications" TargetMode="External" Id="Rc092e8921eab41be" /><Relationship Type="http://schemas.openxmlformats.org/officeDocument/2006/relationships/hyperlink" Target="https://www.omadanetworks.com/us/business-networking/omada-wifi-wall-plate/eap775-wall/#specifications" TargetMode="External" Id="Rc57894294344430f" /><Relationship Type="http://schemas.openxmlformats.org/officeDocument/2006/relationships/hyperlink" Target="https://www.omadanetworks.com/us/business-networking/omada-wifi-ceiling-mount/eap772/#specifications" TargetMode="External" Id="Ra88069dcfc8c4da0" /><Relationship Type="http://schemas.openxmlformats.org/officeDocument/2006/relationships/hyperlink" Target="https://www.tp-link.com/us/home-networking/pci-adapter/tx201/" TargetMode="External" Id="Re2fa6502927e4eb7" /><Relationship Type="http://schemas.openxmlformats.org/officeDocument/2006/relationships/hyperlink" Target="https://www.tp-link.com/productpages/spec/116211-3.html" TargetMode="External" Id="R2c3e8058430e4fdd" /><Relationship Type="http://schemas.openxmlformats.org/officeDocument/2006/relationships/hyperlink" Target="https://store.omadanetworks.com/products/omada-gateway-controller-in-one-with-poe-fusion-2-5g-poe" TargetMode="External" Id="R648a1613df6e4fd0" /><Relationship Type="http://schemas.openxmlformats.org/officeDocument/2006/relationships/hyperlink" Target="https://www.amazon.com/dp/B0HKQ8ZPML" TargetMode="External" Id="Rd58286a439fc4353" /><Relationship Type="http://schemas.openxmlformats.org/officeDocument/2006/relationships/hyperlink" Target="https://store.omadanetworks.com/products/omada-8-port-2-5gbase-t-and-2-port-10ge-sfp-smart-switch-with-8x-poe-160w" TargetMode="External" Id="Rb1f23c43b0334cd4" /><Relationship Type="http://schemas.openxmlformats.org/officeDocument/2006/relationships/hyperlink" Target="../../../docs/network-cost-optimization.md" TargetMode="External" Id="R658476984e5f4297" /><Relationship Type="http://schemas.openxmlformats.org/officeDocument/2006/relationships/table" Target="/xl/tables/table9.xml" Id="Rbf31f808dbce46a4" /><Relationship Type="http://schemas.openxmlformats.org/officeDocument/2006/relationships/table" Target="/xl/tables/table10.xml" Id="R3bbb1352555c45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store.omadanetworks.com/products/omada-all-in-one-gateway-fusion-2-5g" TargetMode="External" Id="R0410534cfc354308" /><Relationship Type="http://schemas.openxmlformats.org/officeDocument/2006/relationships/hyperlink" Target="https://www.amazon.com/dp/B0H4P7XX8G" TargetMode="External" Id="Rf3adb5f5e63e4b30" /><Relationship Type="http://schemas.openxmlformats.org/officeDocument/2006/relationships/hyperlink" Target="https://store.omadanetworks.com/products/omada-gateway-controller-in-one-with-poe-fusion-2-5g-poe" TargetMode="External" Id="R199d595c36ea4142" /><Relationship Type="http://schemas.openxmlformats.org/officeDocument/2006/relationships/hyperlink" Target="https://www.amazon.com/dp/B0HKQ8ZPML" TargetMode="External" Id="R404c1727b04f4676" /><Relationship Type="http://schemas.openxmlformats.org/officeDocument/2006/relationships/hyperlink" Target="https://store.omadanetworks.com/products/omada-8-port-2-5g-2-port-10g-easy-managed-switch-with-8-port-poe-es210xpp-m2" TargetMode="External" Id="R67693979bbb94c66" /><Relationship Type="http://schemas.openxmlformats.org/officeDocument/2006/relationships/hyperlink" Target="https://www.amazon.com/dp/B0HB17QTKX" TargetMode="External" Id="Ra37914b3416f40e3" /><Relationship Type="http://schemas.openxmlformats.org/officeDocument/2006/relationships/hyperlink" Target="https://store.omadanetworks.com/products/omada-5-port-2-5g-base-t-and-1-port-10ge-sfp-easy-managed-switch-with-4-port-poe-es206xpp-m2" TargetMode="External" Id="Rdab6502dca0b481d" /><Relationship Type="http://schemas.openxmlformats.org/officeDocument/2006/relationships/hyperlink" Target="https://www.amazon.com/dp/B0GKQ5SD2L" TargetMode="External" Id="R715e6e3ff733458f" /><Relationship Type="http://schemas.openxmlformats.org/officeDocument/2006/relationships/hyperlink" Target="https://store.omadanetworks.com/products/omada-be11000-tri-band-wall-plate-wi-fi-7-access-point-eap775-wall" TargetMode="External" Id="R6a8504ba337f47d0" /><Relationship Type="http://schemas.openxmlformats.org/officeDocument/2006/relationships/hyperlink" Target="https://www.amazon.com/dp/B0G88FG4QH" TargetMode="External" Id="R336d982a59ab46cc" /><Relationship Type="http://schemas.openxmlformats.org/officeDocument/2006/relationships/hyperlink" Target="https://store.omadanetworks.com/products/omada-be11000-ceiling-mount-tri-band-wi-fi-7-access-point-with-1x2-5g-port" TargetMode="External" Id="R2e5e602e564e475f" /><Relationship Type="http://schemas.openxmlformats.org/officeDocument/2006/relationships/hyperlink" Target="https://www.amazon.com/dp/B0D2M26NYW" TargetMode="External" Id="R348c5f9d75fc4580" /><Relationship Type="http://schemas.openxmlformats.org/officeDocument/2006/relationships/hyperlink" Target="https://store.omadanetworks.com/products/eap725-wall" TargetMode="External" Id="R2b9b27170a3746ea" /><Relationship Type="http://schemas.openxmlformats.org/officeDocument/2006/relationships/hyperlink" Target="https://www.amazon.com/dp/B0FB1W85FN" TargetMode="External" Id="R36f910621d174cc6" /><Relationship Type="http://schemas.openxmlformats.org/officeDocument/2006/relationships/hyperlink" Target="https://store.omadanetworks.com/products/omada-be5000-ceiling-mount-dual-band-wi-fi-7-access-point-with-1x2-5g-port" TargetMode="External" Id="R787754d87da747ed" /><Relationship Type="http://schemas.openxmlformats.org/officeDocument/2006/relationships/hyperlink" Target="https://www.amazon.com/dp/B0DT4YP2GX" TargetMode="External" Id="Ra287f5ad39714588" /><Relationship Type="http://schemas.openxmlformats.org/officeDocument/2006/relationships/hyperlink" Target="https://www.amazon.com/dp/B0G88FG4QH" TargetMode="External" Id="Rce0beb4758c34c9f" /><Relationship Type="http://schemas.openxmlformats.org/officeDocument/2006/relationships/hyperlink" Target="https://www.amazon.com/dp/B0FB1W85FN" TargetMode="External" Id="R7e6333daa5c24409" /><Relationship Type="http://schemas.openxmlformats.org/officeDocument/2006/relationships/hyperlink" Target="https://www.amazon.com/dp/B0D2M26NYW" TargetMode="External" Id="R5996947fb83b43b0" /><Relationship Type="http://schemas.openxmlformats.org/officeDocument/2006/relationships/hyperlink" Target="https://www.amazon.com/dp/B0DT4YP2GX" TargetMode="External" Id="Rb2203bab48c54983" /><Relationship Type="http://schemas.openxmlformats.org/officeDocument/2006/relationships/hyperlink" Target="https://store.omadanetworks.com/products/omada-be11000-tri-band-wall-plate-wi-fi-7-access-point-eap775-wall" TargetMode="External" Id="Re32048bee2634f8a" /><Relationship Type="http://schemas.openxmlformats.org/officeDocument/2006/relationships/hyperlink" Target="https://store.omadanetworks.com/products/eap725-wall" TargetMode="External" Id="R495d09fd18414357" /><Relationship Type="http://schemas.openxmlformats.org/officeDocument/2006/relationships/hyperlink" Target="https://store.omadanetworks.com/products/omada-be11000-ceiling-mount-tri-band-wi-fi-7-access-point-with-1x2-5g-port" TargetMode="External" Id="Rc26888c3486f4e66" /><Relationship Type="http://schemas.openxmlformats.org/officeDocument/2006/relationships/hyperlink" Target="https://store.omadanetworks.com/products/omada-be5000-ceiling-mount-dual-band-wi-fi-7-access-point-with-1x2-5g-port" TargetMode="External" Id="Re8bda311e918479f" /><Relationship Type="http://schemas.openxmlformats.org/officeDocument/2006/relationships/hyperlink" Target="https://www.omadanetworks.com/us/business-networking/omada-wifi-wall-plate/eap725-wall/#specifications" TargetMode="External" Id="Rf2bca12a20854e41" /><Relationship Type="http://schemas.openxmlformats.org/officeDocument/2006/relationships/hyperlink" Target="https://www.omadanetworks.com/us/business-networking/omada-wifi-ceiling-mount/eap723/#specifications" TargetMode="External" Id="Raafc21c1fd4845e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2" customHeight="1">
      <x:c r="A1" s="338" t="str">
        <x:v>基础网络采购与装修交底：第三版，保留交换机PoE</x:v>
      </x:c>
      <x:c r="B1" s="254"/>
      <x:c r="C1" s="254"/>
      <x:c r="D1" s="254"/>
      <x:c r="E1" s="254"/>
      <x:c r="F1" s="254"/>
      <x:c r="G1" s="254"/>
      <x:c r="H1" s="254"/>
    </x:row>
    <x:row r="2" ht="29" customHeight="1">
      <x:c r="A2" s="255" t="str">
        <x:v>2026-10-20。当前暂定定稿：3A三频，EAP775-Wall×2+EAP772×1。双频725×2+723×1保留为预算备选。次卧只留Cat6A/RJ45。 四条Cat6A/两房间箱，本地Mac 10G RJ45与未来NAS 10G SFP+；三台AP交换机PoE直供。</x:v>
      </x:c>
      <x:c r="B2" s="255"/>
      <x:c r="C2" s="255"/>
      <x:c r="D2" s="255"/>
      <x:c r="E2" s="255"/>
      <x:c r="F2" s="255"/>
      <x:c r="G2" s="255"/>
      <x:c r="H2" s="255"/>
    </x:row>
    <x:row r="3" ht="29" customHeight="1">
      <x:c r="A3" s="262"/>
      <x:c r="B3" s="262"/>
      <x:c r="C3" s="262"/>
      <x:c r="D3" s="262"/>
      <x:c r="E3" s="262"/>
      <x:c r="F3" s="262"/>
      <x:c r="G3" s="262"/>
      <x:c r="H3" s="262"/>
    </x:row>
    <x:row r="4">
      <x:c r="A4" s="262"/>
      <x:c r="B4" s="262"/>
      <x:c r="C4" s="262"/>
      <x:c r="D4" s="262"/>
      <x:c r="E4" s="262"/>
      <x:c r="F4" s="262"/>
      <x:c r="G4" s="262"/>
      <x:c r="H4" s="262"/>
    </x:row>
    <x:row r="5" ht="23" customHeight="1">
      <x:c r="A5" s="262"/>
      <x:c r="B5" s="262"/>
      <x:c r="C5" s="216" t="str">
        <x:v>入户光纤 → 运营商光猫 / ONT
光猫保留，桥接和认证参数由运营商确认</x:v>
      </x:c>
      <x:c r="D5" s="217" t="str">
        <x:v>入户光纤 → 运营商光猫 / ONT
光猫保留，桥接和认证参数由运营商确认</x:v>
      </x:c>
      <x:c r="E5" s="217" t="str">
        <x:v>入户光纤 → 运营商光猫 / ONT
光猫保留，桥接和认证参数由运营商确认</x:v>
      </x:c>
      <x:c r="F5" s="218" t="str">
        <x:v>入户光纤 → 运营商光猫 / ONT
光猫保留，桥接和认证参数由运营商确认</x:v>
      </x:c>
      <x:c r="G5" s="262"/>
      <x:c r="H5" s="262"/>
    </x:row>
    <x:row r="6" ht="23" customHeight="1">
      <x:c r="A6" s="262"/>
      <x:c r="B6" s="262"/>
      <x:c r="C6" s="222" t="str">
        <x:v>入户光纤 → 运营商光猫 / ONT
光猫保留，桥接和认证参数由运营商确认</x:v>
      </x:c>
      <x:c r="D6" s="223" t="str">
        <x:v>入户光纤 → 运营商光猫 / ONT
光猫保留，桥接和认证参数由运营商确认</x:v>
      </x:c>
      <x:c r="E6" s="223" t="str">
        <x:v>入户光纤 → 运营商光猫 / ONT
光猫保留，桥接和认证参数由运营商确认</x:v>
      </x:c>
      <x:c r="F6" s="224" t="str">
        <x:v>入户光纤 → 运营商光猫 / ONT
光猫保留，桥接和认证参数由运营商确认</x:v>
      </x:c>
      <x:c r="G6" s="262"/>
      <x:c r="H6" s="262"/>
    </x:row>
    <x:row r="7" ht="23" customHeight="1">
      <x:c r="A7" s="262"/>
      <x:c r="B7" s="262"/>
      <x:c r="C7" s="264" t="str">
        <x:v>↓ 以太网</x:v>
      </x:c>
      <x:c r="D7" s="264"/>
      <x:c r="E7" s="264"/>
      <x:c r="F7" s="264"/>
      <x:c r="G7" s="262"/>
      <x:c r="H7" s="262"/>
    </x:row>
    <x:row r="8" ht="23" customHeight="1">
      <x:c r="A8" s="262"/>
      <x:c r="B8" s="262"/>
      <x:c r="C8" s="236" t="str">
        <x:v>AC主路由：Fusion 2.5G 普通版（用户确认，未购）
内置Omada控制器；不另购OC200</x:v>
      </x:c>
      <x:c r="D8" s="237" t="str">
        <x:v>AC主路由：Fusion 2.5G 普通版（暂定）
内置Omada控制器；不另购OC200</x:v>
      </x:c>
      <x:c r="E8" s="237" t="str">
        <x:v>AC主路由：Fusion 2.5G 普通版（暂定）
内置Omada控制器；不另购OC200</x:v>
      </x:c>
      <x:c r="F8" s="238" t="str">
        <x:v>AC主路由：Fusion 2.5G 普通版（暂定）
内置Omada控制器；不另购OC200</x:v>
      </x:c>
      <x:c r="G8" s="262"/>
      <x:c r="H8" s="262"/>
    </x:row>
    <x:row r="9" ht="23" customHeight="1">
      <x:c r="A9" s="262"/>
      <x:c r="B9" s="262"/>
      <x:c r="C9" s="239" t="str">
        <x:v>AC主路由：Fusion 2.5G 普通版（暂定）
内置Omada控制器；不另购OC200</x:v>
      </x:c>
      <x:c r="D9" s="240" t="str">
        <x:v>AC主路由：Fusion 2.5G 普通版（暂定）
内置Omada控制器；不另购OC200</x:v>
      </x:c>
      <x:c r="E9" s="240" t="str">
        <x:v>AC主路由：Fusion 2.5G 普通版（暂定）
内置Omada控制器；不另购OC200</x:v>
      </x:c>
      <x:c r="F9" s="241" t="str">
        <x:v>AC主路由：Fusion 2.5G 普通版（暂定）
内置Omada控制器；不另购OC200</x:v>
      </x:c>
      <x:c r="G9" s="262"/>
      <x:c r="H9" s="262"/>
    </x:row>
    <x:row r="10" ht="23" customHeight="1">
      <x:c r="A10" s="262"/>
      <x:c r="B10" s="262"/>
      <x:c r="C10" s="264" t="str">
        <x:v>↓ 以太网</x:v>
      </x:c>
      <x:c r="D10" s="264"/>
      <x:c r="E10" s="264"/>
      <x:c r="F10" s="264"/>
      <x:c r="G10" s="262"/>
      <x:c r="H10" s="262"/>
    </x:row>
    <x:row r="11" ht="23" customHeight="1">
      <x:c r="A11" s="262"/>
      <x:c r="B11" s="236" t="str">
        <x:v>3A 中央 ES206XPP-M2 ×1
5×2.5G 铜口：Fusion + 四主干预留
4 个 PoE++ / 120W；当前仅主卧 AP 占一个 PoE 口</x:v>
      </x:c>
      <x:c r="C11" s="237" t="str">
        <x:v>中央PoE交换机：推荐 ES210XPP-M2 ×1，型号待最终确认
Fusion LAN + 四条主干，共5个2.5G连接
卧室AP两路直接PoE，保守规划121.68W / 200W</x:v>
      </x:c>
      <x:c r="D11" s="237" t="str">
        <x:v>中央PoE交换机：推荐 ES210XPP-M2 ×1，型号待最终确认
Fusion LAN + 四条主干，共5个2.5G连接
卧室AP两路直接PoE，保守规划121.68W / 200W</x:v>
      </x:c>
      <x:c r="E11" s="237" t="str">
        <x:v>中央PoE交换机：推荐 ES210XPP-M2 ×1，型号待最终确认
Fusion LAN + 四条主干，共5个2.5G连接
卧室AP两路直接PoE，保守规划121.68W / 200W</x:v>
      </x:c>
      <x:c r="F11" s="237" t="str">
        <x:v>中央PoE交换机：推荐 ES210XPP-M2 ×1，型号待最终确认
Fusion LAN + 四条主干，共5个2.5G连接
卧室AP两路直接PoE，保守规划121.68W / 200W</x:v>
      </x:c>
      <x:c r="G11" s="238" t="str">
        <x:v>中央PoE交换机：推荐 ES210XPP-M2 ×1，型号待最终确认
Fusion LAN + 四条主干，共5个2.5G连接
卧室AP两路直接PoE，保守规划121.68W / 200W</x:v>
      </x:c>
      <x:c r="H11" s="262"/>
    </x:row>
    <x:row r="12" ht="23" customHeight="1">
      <x:c r="A12" s="262"/>
      <x:c r="B12" s="242" t="str">
        <x:v>中央PoE交换机：推荐 ES210XPP-M2 ×1，型号待最终确认
Fusion LAN + 四条主干，共5个2.5G连接
卧室AP两路直接PoE，保守规划121.68W / 200W</x:v>
      </x:c>
      <x:c r="C12" s="243" t="str">
        <x:v>中央PoE交换机：推荐 ES210XPP-M2 ×1，型号待最终确认
Fusion LAN + 四条主干，共5个2.5G连接
卧室AP两路直接PoE，保守规划121.68W / 200W</x:v>
      </x:c>
      <x:c r="D12" s="243" t="str">
        <x:v>中央PoE交换机：推荐 ES210XPP-M2 ×1，型号待最终确认
Fusion LAN + 四条主干，共5个2.5G连接
卧室AP两路直接PoE，保守规划121.68W / 200W</x:v>
      </x:c>
      <x:c r="E12" s="243" t="str">
        <x:v>中央PoE交换机：推荐 ES210XPP-M2 ×1，型号待最终确认
Fusion LAN + 四条主干，共5个2.5G连接
卧室AP两路直接PoE，保守规划121.68W / 200W</x:v>
      </x:c>
      <x:c r="F12" s="243" t="str">
        <x:v>中央PoE交换机：推荐 ES210XPP-M2 ×1，型号待最终确认
Fusion LAN + 四条主干，共5个2.5G连接
卧室AP两路直接PoE，保守规划121.68W / 200W</x:v>
      </x:c>
      <x:c r="G12" s="244" t="str">
        <x:v>中央PoE交换机：推荐 ES210XPP-M2 ×1，型号待最终确认
Fusion LAN + 四条主干，共5个2.5G连接
卧室AP两路直接PoE，保守规划121.68W / 200W</x:v>
      </x:c>
      <x:c r="H12" s="262"/>
    </x:row>
    <x:row r="13" ht="23" customHeight="1">
      <x:c r="A13" s="262"/>
      <x:c r="B13" s="239" t="str">
        <x:v>中央PoE交换机：推荐 ES210XPP-M2 ×1，型号待最终确认
Fusion LAN + 四条主干，共5个2.5G连接
卧室AP两路直接PoE，保守规划121.68W / 200W</x:v>
      </x:c>
      <x:c r="C13" s="240" t="str">
        <x:v>中央PoE交换机：推荐 ES210XPP-M2 ×1，型号待最终确认
Fusion LAN + 四条主干，共5个2.5G连接
卧室AP两路直接PoE，保守规划121.68W / 200W</x:v>
      </x:c>
      <x:c r="D13" s="240" t="str">
        <x:v>中央PoE交换机：推荐 ES210XPP-M2 ×1，型号待最终确认
Fusion LAN + 四条主干，共5个2.5G连接
卧室AP两路直接PoE，保守规划121.68W / 200W</x:v>
      </x:c>
      <x:c r="E13" s="240" t="str">
        <x:v>中央PoE交换机：推荐 ES210XPP-M2 ×1，型号待最终确认
Fusion LAN + 四条主干，共5个2.5G连接
卧室AP两路直接PoE，保守规划121.68W / 200W</x:v>
      </x:c>
      <x:c r="F13" s="240" t="str">
        <x:v>中央PoE交换机：推荐 ES210XPP-M2 ×1，型号待最终确认
Fusion LAN + 四条主干，共5个2.5G连接
卧室AP两路直接PoE，保守规划121.68W / 200W</x:v>
      </x:c>
      <x:c r="G13" s="241" t="str">
        <x:v>中央PoE交换机：推荐 ES210XPP-M2 ×1，型号待最终确认
Fusion LAN + 四条主干，共5个2.5G连接
卧室AP两路直接PoE，保守规划121.68W / 200W</x:v>
      </x:c>
      <x:c r="H13" s="262"/>
    </x:row>
    <x:row r="14" ht="54" customHeight="1">
      <x:c r="A14" s="135" t="str">
        <x:v>↓ TRUNK-MASTER
Cat6A / 2.5G + PoE</x:v>
      </x:c>
      <x:c r="B14" s="136" t="str">
        <x:v>↓ TRUNK-MASTER
Cat6A / 2.5G + PoE</x:v>
      </x:c>
      <x:c r="C14" s="135" t="str">
        <x:v>↓ TRUNK-SECOND
Cat6A / 2.5G，默认无 PoE</x:v>
      </x:c>
      <x:c r="D14" s="136" t="str">
        <x:v>↓ TRUNK-SECOND
Cat6A / 2.5G + PoE</x:v>
      </x:c>
      <x:c r="E14" s="135" t="str">
        <x:v>↓ TRUNK-STUDIO
Cat6A / 2.5G 数据</x:v>
      </x:c>
      <x:c r="F14" s="136" t="str">
        <x:v>↓ TRUNK-STUDIO
Cat6A / 2.5G 数据</x:v>
      </x:c>
      <x:c r="G14" s="135" t="str">
        <x:v>↓ TRUNK-HALL
Cat6A / 2.5G 数据</x:v>
      </x:c>
      <x:c r="H14" s="136" t="str">
        <x:v>↓ TRUNK-HALL
Cat6A / 2.5G 数据</x:v>
      </x:c>
    </x:row>
    <x:row r="15" ht="23" customHeight="1">
      <x:c r="A15" s="245" t="str">
        <x:v>主卧
EAP775-Wall
中央交换机直接PoE
无设备箱/交换机</x:v>
      </x:c>
      <x:c r="B15" s="246" t="str">
        <x:v>主卧
EAP725-Wall US V2 面板AP
中央直接PoE
无设备箱/交换机</x:v>
      </x:c>
      <x:c r="C15" s="245" t="str">
        <x:v>次卧 RJ45 墙口
暂不购 AP；先测大厅覆盖
已有 TL-7DR3630 可选有线 AP / 市电</x:v>
      </x:c>
      <x:c r="D15" s="246" t="str">
        <x:v>次卧
EAP725-Wall US V2 面板AP
中央直接PoE
无设备箱/交换机</x:v>
      </x:c>
      <x:c r="E15" s="245" t="str">
        <x:v>工作室设备箱
ES210XPP-M2 ×1
直接PoE供AP
本地市电</x:v>
      </x:c>
      <x:c r="F15" s="246" t="str">
        <x:v>工作室/电竞房设备箱
ES210XPP-M2 ×1
本地市电
唯一房间交换机</x:v>
      </x:c>
      <x:c r="G15" s="245" t="str">
        <x:v>大厅设备箱
ES206XPP-M2 ×1
直接PoE供AP
本地市电</x:v>
      </x:c>
      <x:c r="H15" s="246" t="str">
        <x:v>大厅设备箱
ES206XPP-M2 ×1
本地市电
4个PoE口 / 120W</x:v>
      </x:c>
    </x:row>
    <x:row r="16" ht="23" customHeight="1">
      <x:c r="A16" s="247" t="str">
        <x:v>主卧
EAP725-Wall US V2 面板AP
中央直接PoE
无设备箱/交换机</x:v>
      </x:c>
      <x:c r="B16" s="248" t="str">
        <x:v>主卧
EAP725-Wall US V2 面板AP
中央直接PoE
无设备箱/交换机</x:v>
      </x:c>
      <x:c r="C16" s="247" t="str">
        <x:v>次卧
EAP725-Wall US V2 面板AP
中央直接PoE
无设备箱/交换机</x:v>
      </x:c>
      <x:c r="D16" s="248" t="str">
        <x:v>次卧
EAP725-Wall US V2 面板AP
中央直接PoE
无设备箱/交换机</x:v>
      </x:c>
      <x:c r="E16" s="247" t="str">
        <x:v>工作室/电竞房设备箱
ES210XPP-M2 ×1
本地市电
唯一房间交换机</x:v>
      </x:c>
      <x:c r="F16" s="248" t="str">
        <x:v>工作室/电竞房设备箱
ES210XPP-M2 ×1
本地市电
唯一房间交换机</x:v>
      </x:c>
      <x:c r="G16" s="247" t="str">
        <x:v>大厅设备箱
ES206XPP-M2 ×1
本地市电
4个PoE口 / 120W</x:v>
      </x:c>
      <x:c r="H16" s="248" t="str">
        <x:v>大厅设备箱
ES206XPP-M2 ×1
本地市电
4个PoE口 / 120W</x:v>
      </x:c>
    </x:row>
    <x:row r="17" ht="23" customHeight="1">
      <x:c r="A17" s="247" t="str">
        <x:v>主卧
EAP725-Wall US V2 面板AP
中央直接PoE
无设备箱/交换机</x:v>
      </x:c>
      <x:c r="B17" s="248" t="str">
        <x:v>主卧
EAP725-Wall US V2 面板AP
中央直接PoE
无设备箱/交换机</x:v>
      </x:c>
      <x:c r="C17" s="247" t="str">
        <x:v>次卧
EAP725-Wall US V2 面板AP
中央直接PoE
无设备箱/交换机</x:v>
      </x:c>
      <x:c r="D17" s="248" t="str">
        <x:v>次卧
EAP725-Wall US V2 面板AP
中央直接PoE
无设备箱/交换机</x:v>
      </x:c>
      <x:c r="E17" s="247" t="str">
        <x:v>工作室/电竞房设备箱
ES210XPP-M2 ×1
本地市电
唯一房间交换机</x:v>
      </x:c>
      <x:c r="F17" s="248" t="str">
        <x:v>工作室/电竞房设备箱
ES210XPP-M2 ×1
本地市电
唯一房间交换机</x:v>
      </x:c>
      <x:c r="G17" s="247" t="str">
        <x:v>大厅设备箱
ES206XPP-M2 ×1
本地市电
4个PoE口 / 120W</x:v>
      </x:c>
      <x:c r="H17" s="248" t="str">
        <x:v>大厅设备箱
ES206XPP-M2 ×1
本地市电
4个PoE口 / 120W</x:v>
      </x:c>
    </x:row>
    <x:row r="18" ht="23" customHeight="1">
      <x:c r="A18" s="249" t="str">
        <x:v>主卧
EAP725-Wall US V2 面板AP
中央直接PoE
无设备箱/交换机</x:v>
      </x:c>
      <x:c r="B18" s="250" t="str">
        <x:v>主卧
EAP725-Wall US V2 面板AP
中央直接PoE
无设备箱/交换机</x:v>
      </x:c>
      <x:c r="C18" s="249" t="str">
        <x:v>次卧
EAP725-Wall US V2 面板AP
中央直接PoE
无设备箱/交换机</x:v>
      </x:c>
      <x:c r="D18" s="250" t="str">
        <x:v>次卧
EAP725-Wall US V2 面板AP
中央直接PoE
无设备箱/交换机</x:v>
      </x:c>
      <x:c r="E18" s="249" t="str">
        <x:v>工作室/电竞房设备箱
ES210XPP-M2 ×1
本地市电
唯一房间交换机</x:v>
      </x:c>
      <x:c r="F18" s="250" t="str">
        <x:v>工作室/电竞房设备箱
ES210XPP-M2 ×1
本地市电
唯一房间交换机</x:v>
      </x:c>
      <x:c r="G18" s="249" t="str">
        <x:v>大厅设备箱
ES206XPP-M2 ×1
本地市电
4个PoE口 / 120W</x:v>
      </x:c>
      <x:c r="H18" s="250" t="str">
        <x:v>大厅设备箱
ES206XPP-M2 ×1
本地市电
4个PoE口 / 120W</x:v>
      </x:c>
    </x:row>
    <x:row r="19" ht="23" customHeight="1">
      <x:c r="A19" s="264" t="str">
        <x:v>↓ 本区域短线/支线</x:v>
      </x:c>
      <x:c r="B19" s="264"/>
      <x:c r="C19" s="264" t="str">
        <x:v>↓ 本区域短线/支线</x:v>
      </x:c>
      <x:c r="D19" s="264"/>
      <x:c r="E19" s="264" t="str">
        <x:v>↓ 本区域短线/支线</x:v>
      </x:c>
      <x:c r="F19" s="264"/>
      <x:c r="G19" s="264" t="str">
        <x:v>↓ 本区域短线/支线</x:v>
      </x:c>
      <x:c r="H19" s="264"/>
    </x:row>
    <x:row r="20" ht="23" customHeight="1">
      <x:c r="A20" s="183" t="str">
        <x:v>AP下联电脑/墙口
1×2.5G + 3×1G
Wi-Fi 7无线覆盖
不启用AP PoE Out</x:v>
      </x:c>
      <x:c r="B20" s="184" t="str">
        <x:v>AP下联电脑/墙口
1×2.5G + 3×1G
Wi-Fi 7无线覆盖
不启用AP PoE Out</x:v>
      </x:c>
      <x:c r="C20" s="183" t="str">
        <x:v>次卧当前仅墙口
可选已有 TL-7DR3630：2.5G 口接回程
独立管理、12V 电源；非 Omada</x:v>
      </x:c>
      <x:c r="D20" s="184" t="str">
        <x:v>AP下联电脑/墙口
1×2.5G + 3×1G
Wi-Fi 7无线覆盖
不启用AP PoE Out</x:v>
      </x:c>
      <x:c r="E20" s="183" t="str">
        <x:v>原生10G RJ45 → Mac Studio
10G SFP+ → 未来NAS
铜口 → PC×2 / mini / J3455
PoE → EAP775-Wall</x:v>
      </x:c>
      <x:c r="F20" s="184" t="str">
        <x:v>10G RJ45 → Mac Studio
10G SFP+ → 未来NAS（后置）
铜口 → PC×2 / mini / J3455
PoE → 工作室面板AP</x:v>
      </x:c>
      <x:c r="G20" s="183" t="str">
        <x:v>PoE → 大厅吊顶EAP772
有线 → 电视 / HALL-IOT-GW
非PoE网关另接普通电源
面板AP PoE Out禁用</x:v>
      </x:c>
      <x:c r="H20" s="184" t="str">
        <x:v>PoE → 大厅吊顶EAP723
有线 → 电视位
有线 → HALL-IOT-GW墙口
普通插座供非PoE网关</x:v>
      </x:c>
    </x:row>
    <x:row r="21" ht="23" customHeight="1">
      <x:c r="A21" s="185" t="str">
        <x:v>AP下联电脑/墙口
1×2.5G + 3×1G
Wi-Fi 7无线覆盖
不启用AP PoE Out</x:v>
      </x:c>
      <x:c r="B21" s="186" t="str">
        <x:v>AP下联电脑/墙口
1×2.5G + 3×1G
Wi-Fi 7无线覆盖
不启用AP PoE Out</x:v>
      </x:c>
      <x:c r="C21" s="185" t="str">
        <x:v>AP下联电脑/墙口
1×2.5G + 3×1G
Wi-Fi 7无线覆盖
不启用AP PoE Out</x:v>
      </x:c>
      <x:c r="D21" s="186" t="str">
        <x:v>AP下联电脑/墙口
1×2.5G + 3×1G
Wi-Fi 7无线覆盖
不启用AP PoE Out</x:v>
      </x:c>
      <x:c r="E21" s="185" t="str">
        <x:v>10G RJ45 → Mac Studio
10G SFP+ → 未来NAS（后置）
铜口 → PC×2 / mini / J3455
PoE → 工作室面板AP</x:v>
      </x:c>
      <x:c r="F21" s="186" t="str">
        <x:v>10G RJ45 → Mac Studio
10G SFP+ → 未来NAS（后置）
铜口 → PC×2 / mini / J3455
PoE → 工作室面板AP</x:v>
      </x:c>
      <x:c r="G21" s="185" t="str">
        <x:v>PoE → 大厅吊顶EAP723
有线 → 电视位
有线 → HALL-IOT-GW墙口
普通插座供非PoE网关</x:v>
      </x:c>
      <x:c r="H21" s="186" t="str">
        <x:v>PoE → 大厅吊顶EAP723
有线 → 电视位
有线 → HALL-IOT-GW墙口
普通插座供非PoE网关</x:v>
      </x:c>
    </x:row>
    <x:row r="22" ht="23" customHeight="1">
      <x:c r="A22" s="185" t="str">
        <x:v>AP下联电脑/墙口
1×2.5G + 3×1G
Wi-Fi 7无线覆盖
不启用AP PoE Out</x:v>
      </x:c>
      <x:c r="B22" s="186" t="str">
        <x:v>AP下联电脑/墙口
1×2.5G + 3×1G
Wi-Fi 7无线覆盖
不启用AP PoE Out</x:v>
      </x:c>
      <x:c r="C22" s="185" t="str">
        <x:v>AP下联电脑/墙口
1×2.5G + 3×1G
Wi-Fi 7无线覆盖
不启用AP PoE Out</x:v>
      </x:c>
      <x:c r="D22" s="186" t="str">
        <x:v>AP下联电脑/墙口
1×2.5G + 3×1G
Wi-Fi 7无线覆盖
不启用AP PoE Out</x:v>
      </x:c>
      <x:c r="E22" s="185" t="str">
        <x:v>10G RJ45 → Mac Studio
10G SFP+ → 未来NAS（后置）
铜口 → PC×2 / mini / J3455
PoE → 工作室面板AP</x:v>
      </x:c>
      <x:c r="F22" s="186" t="str">
        <x:v>10G RJ45 → Mac Studio
10G SFP+ → 未来NAS（后置）
铜口 → PC×2 / mini / J3455
PoE → 工作室面板AP</x:v>
      </x:c>
      <x:c r="G22" s="185" t="str">
        <x:v>PoE → 大厅吊顶EAP723
有线 → 电视位
有线 → HALL-IOT-GW墙口
普通插座供非PoE网关</x:v>
      </x:c>
      <x:c r="H22" s="186" t="str">
        <x:v>PoE → 大厅吊顶EAP723
有线 → 电视位
有线 → HALL-IOT-GW墙口
普通插座供非PoE网关</x:v>
      </x:c>
    </x:row>
    <x:row r="23" ht="23" customHeight="1">
      <x:c r="A23" s="187" t="str">
        <x:v>AP下联电脑/墙口
1×2.5G + 3×1G
Wi-Fi 7无线覆盖
不启用AP PoE Out</x:v>
      </x:c>
      <x:c r="B23" s="188" t="str">
        <x:v>AP下联电脑/墙口
1×2.5G + 3×1G
Wi-Fi 7无线覆盖
不启用AP PoE Out</x:v>
      </x:c>
      <x:c r="C23" s="187" t="str">
        <x:v>AP下联电脑/墙口
1×2.5G + 3×1G
Wi-Fi 7无线覆盖
不启用AP PoE Out</x:v>
      </x:c>
      <x:c r="D23" s="188" t="str">
        <x:v>AP下联电脑/墙口
1×2.5G + 3×1G
Wi-Fi 7无线覆盖
不启用AP PoE Out</x:v>
      </x:c>
      <x:c r="E23" s="187" t="str">
        <x:v>10G RJ45 → Mac Studio
10G SFP+ → 未来NAS（后置）
铜口 → PC×2 / mini / J3455
PoE → 工作室面板AP</x:v>
      </x:c>
      <x:c r="F23" s="188" t="str">
        <x:v>10G RJ45 → Mac Studio
10G SFP+ → 未来NAS（后置）
铜口 → PC×2 / mini / J3455
PoE → 工作室面板AP</x:v>
      </x:c>
      <x:c r="G23" s="187" t="str">
        <x:v>PoE → 大厅吊顶EAP723
有线 → 电视位
有线 → HALL-IOT-GW墙口
普通插座供非PoE网关</x:v>
      </x:c>
      <x:c r="H23" s="188" t="str">
        <x:v>PoE → 大厅吊顶EAP723
有线 → 电视位
有线 → HALL-IOT-GW墙口
普通插座供非PoE网关</x:v>
      </x:c>
    </x:row>
    <x:row r="24" ht="23" customHeight="1">
      <x:c r="A24" s="262"/>
      <x:c r="B24" s="262"/>
      <x:c r="C24" s="262"/>
      <x:c r="D24" s="262"/>
      <x:c r="E24" s="262"/>
      <x:c r="F24" s="262"/>
      <x:c r="G24" s="262"/>
      <x:c r="H24" s="262"/>
    </x:row>
    <x:row r="25" ht="23" customHeight="1">
      <x:c r="A25" s="216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B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C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D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E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F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G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H25" s="218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</x:row>
    <x:row r="26" ht="23" customHeight="1">
      <x:c r="A26" s="219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B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C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D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E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F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G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H26" s="221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</x:row>
    <x:row r="27" ht="23" customHeight="1">
      <x:c r="A27" s="222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B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C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D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E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F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G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H27" s="224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</x:row>
    <x:row r="28">
      <x:c r="A28" s="262"/>
      <x:c r="B28" s="262"/>
      <x:c r="C28" s="262"/>
      <x:c r="D28" s="262"/>
      <x:c r="E28" s="262"/>
      <x:c r="F28" s="262"/>
      <x:c r="G28" s="262"/>
      <x:c r="H28" s="262"/>
    </x:row>
    <x:row r="29">
      <x:c r="A29" s="265" t="str">
        <x:v>下单、封墙前需要确认</x:v>
      </x:c>
      <x:c r="B29" s="266"/>
      <x:c r="C29" s="266"/>
      <x:c r="D29" s="266"/>
      <x:c r="E29" s="266"/>
      <x:c r="F29" s="266"/>
      <x:c r="G29" s="266"/>
      <x:c r="H29" s="267"/>
    </x:row>
    <x:row r="30" ht="57" customHeight="1">
      <x:c r="A30" s="261" t="str">
        <x:v>物理路径（已确定）</x:v>
      </x:c>
      <x:c r="B30" s="261"/>
      <x:c r="C30" s="262" t="str">
        <x:v>3A：光猫→普通Fusion→中央ES206XPP→四主干。3B：光猫→Fusion PoE→四主干，取消独立中央交换机。两种互斥。</x:v>
      </x:c>
      <x:c r="D30" s="262"/>
      <x:c r="E30" s="262"/>
      <x:c r="F30" s="262"/>
      <x:c r="G30" s="262"/>
      <x:c r="H30" s="262"/>
    </x:row>
    <x:row r="31" ht="57" customHeight="1">
      <x:c r="A31" s="261" t="str">
        <x:v>主干数量（已确定）</x:v>
      </x:c>
      <x:c r="B31" s="261"/>
      <x:c r="C31" s="262" t="str">
        <x:v>四条 Cat6A 实芯纯铜、目标 2.5GbE。主卧到 Wall AP；次卧端接 RJ45 墙口；工作室、大厅到本地交换机。不按每房预埋光纤。</x:v>
      </x:c>
      <x:c r="D31" s="262"/>
      <x:c r="E31" s="262"/>
      <x:c r="F31" s="262"/>
      <x:c r="G31" s="262"/>
      <x:c r="H31" s="262"/>
    </x:row>
    <x:row r="32" ht="57" customHeight="1">
      <x:c r="A32" s="263" t="str">
        <x:v>中央设备（两种方案）</x:v>
      </x:c>
      <x:c r="B32" s="263"/>
      <x:c r="C32" s="262" t="str">
        <x:v>3A中央ES206XPP五铜口全占；3B购买不同硬件Fusion PoE九口机，四条主干用4个LAN并留4个。普通Fusion不能直接给AP供电。</x:v>
      </x:c>
      <x:c r="D32" s="262"/>
      <x:c r="E32" s="262"/>
      <x:c r="F32" s="262"/>
      <x:c r="G32" s="262"/>
      <x:c r="H32" s="262"/>
    </x:row>
    <x:row r="33" ht="57" customHeight="1">
      <x:c r="A33" s="261" t="str">
        <x:v>房间交换机（保留）</x:v>
      </x:c>
      <x:c r="B33" s="261"/>
      <x:c r="C33" s="262" t="str">
        <x:v>工作室ES210XPP×1、大厅ES206XPP×1，直接PoE供本地AP。Mac走原生10G RJ45，NAS走独立SFP+；不买铜模块。</x:v>
      </x:c>
      <x:c r="D33" s="262"/>
      <x:c r="E33" s="262"/>
      <x:c r="F33" s="262"/>
      <x:c r="G33" s="262"/>
      <x:c r="H33" s="262"/>
    </x:row>
    <x:row r="34" ht="57" customHeight="1">
      <x:c r="A34" s="261" t="str">
        <x:v>AP（双频备选）</x:v>
      </x:c>
      <x:c r="B34" s="261"/>
      <x:c r="C34" s="262" t="str">
        <x:v>首期三频 EAP775-Wall ×2（主卧、电竞房）+ EAP772 ×1（大厅吊顶）；次卧暂不购 AP，已有 TL-7DR3630 可选补盲，非 Omada。6GHz 大陆合法启用待核。</x:v>
      </x:c>
      <x:c r="D34" s="262"/>
      <x:c r="E34" s="262"/>
      <x:c r="F34" s="262"/>
      <x:c r="G34" s="262"/>
      <x:c r="H34" s="262"/>
    </x:row>
    <x:row r="35" ht="57" customHeight="1">
      <x:c r="A35" s="261" t="str">
        <x:v>房间箱（已确定）</x:v>
      </x:c>
      <x:c r="B35" s="261"/>
      <x:c r="C35" s="262" t="str">
        <x:v>只设工作室、大厅各1个可维护小箱；主卧/次卧不设箱和交换机。AP安装位/底盒保留；箱体需通风、插座和检修余量</x:v>
      </x:c>
      <x:c r="D35" s="262"/>
      <x:c r="E35" s="262"/>
      <x:c r="F35" s="262"/>
      <x:c r="G35" s="262"/>
      <x:c r="H35" s="262"/>
    </x:row>
    <x:row r="36" ht="57" customHeight="1">
      <x:c r="A36" s="261" t="str">
        <x:v>高速NAS（后置）</x:v>
      </x:c>
      <x:c r="B36" s="261"/>
      <x:c r="C36" s="262" t="str">
        <x:v>入住后再选；NAS要求自带10G SFP+光口。不买NAS 10G网卡；DAC或光模块+光纤等NAS实物确认后再买，不埋墙</x:v>
      </x:c>
      <x:c r="D36" s="262"/>
      <x:c r="E36" s="262"/>
      <x:c r="F36" s="262"/>
      <x:c r="G36" s="262"/>
      <x:c r="H36" s="262"/>
    </x:row>
    <x:row r="37" ht="57" customHeight="1">
      <x:c r="A37" s="261" t="str">
        <x:v>J3455（待核验）</x:v>
      </x:c>
      <x:c r="B37" s="261"/>
      <x:c r="C37" s="262" t="str">
        <x:v>升级目标2.5GbE，入住前后可分期，先核TX201候选。主板PCIe 2.0 x1带宽足够；先核槽位、挡板、驱动和散热，原千兆口保留回退</x:v>
      </x:c>
      <x:c r="D37" s="262"/>
      <x:c r="E37" s="262"/>
      <x:c r="F37" s="262"/>
      <x:c r="G37" s="262"/>
      <x:c r="H37" s="262"/>
    </x:row>
    <x:row r="38" ht="57" customHeight="1">
      <x:c r="A38" s="261" t="str">
        <x:v>UPS（入住后）</x:v>
      </x:c>
      <x:c r="B38" s="261"/>
      <x:c r="C38" s="262" t="str">
        <x:v>搬入后实测负载再增添。本表只预留插座、承重和后备回路位置，不把UPS当作当前确定采购</x:v>
      </x:c>
      <x:c r="D38" s="262"/>
      <x:c r="E38" s="262"/>
      <x:c r="F38" s="262"/>
      <x:c r="G38" s="262"/>
      <x:c r="H38" s="262"/>
    </x:row>
    <x:row r="39" ht="57" customHeight="1">
      <x:c r="A39" s="263" t="str">
        <x:v>壁挂中控屏（待确认）</x:v>
      </x:c>
      <x:c r="B39" s="263"/>
      <x:c r="C39" s="262" t="str">
        <x:v>已有杂牌安卓可用则优先复用；否则二手iPad mini/便宜iPad，型号未定。非基础网络设备；只预留电源、安装和Wi-Fi，不计入核心网络BOM</x:v>
      </x:c>
      <x:c r="D39" s="262"/>
      <x:c r="E39" s="262"/>
      <x:c r="F39" s="262"/>
      <x:c r="G39" s="262"/>
      <x:c r="H39" s="262"/>
    </x:row>
    <x:row r="40" ht="57" customHeight="1">
      <x:c r="A40" s="261" t="str">
        <x:v>额外配件（不买）</x:v>
      </x:c>
      <x:c r="B40" s="261"/>
      <x:c r="C40" s="262" t="str">
        <x:v>不买POE260S和SM5310-T。PoE由交换机/网关直接提供；工作室交换机有原生10G RJ45。</x:v>
      </x:c>
      <x:c r="D40" s="262"/>
      <x:c r="E40" s="262"/>
      <x:c r="F40" s="262"/>
      <x:c r="G40" s="262"/>
      <x:c r="H40" s="262"/>
    </x:row>
    <x:row r="41">
      <x:c r="A41" s="262"/>
      <x:c r="B41" s="262"/>
      <x:c r="C41" s="262"/>
      <x:c r="D41" s="262"/>
      <x:c r="E41" s="262"/>
      <x:c r="F41" s="262"/>
      <x:c r="G41" s="262"/>
      <x:c r="H41" s="262"/>
    </x:row>
    <x:row r="42">
      <x:c r="A42" s="216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B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C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D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E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F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G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H42" s="218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</x:row>
    <x:row r="43">
      <x:c r="A43" s="222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B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C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D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E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F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G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H43" s="224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</x:row>
    <x:row r="46" ht="29" customHeight="1">
      <x:c r="A46" s="398" t="str">
        <x:v>3B 整合备选：Fusion 2.5G PoE，取消独立中央交换机</x:v>
      </x:c>
      <x:c r="B46" s="398"/>
      <x:c r="C46" s="398"/>
      <x:c r="D46" s="398"/>
      <x:c r="E46" s="398"/>
      <x:c r="F46" s="398"/>
      <x:c r="G46" s="398"/>
      <x:c r="H46" s="398"/>
    </x:row>
    <x:row r="47" ht="29" customHeight="1">
      <x:c r="A47" s="377"/>
      <x:c r="B47" s="377"/>
      <x:c r="C47" s="377"/>
      <x:c r="D47" s="377"/>
      <x:c r="E47" s="377"/>
      <x:c r="F47" s="377"/>
      <x:c r="G47" s="377"/>
      <x:c r="H47" s="377"/>
    </x:row>
    <x:row r="48" ht="29" customHeight="1">
      <x:c r="A48" s="377"/>
      <x:c r="B48" s="398" t="str">
        <x:v>入户光纤 → 光猫 → Fusion 2.5G PoE（九口机，非普通版）
1 WAN + 8可配LAN；8个PoE+口/110W；本方案四主干使用4口、预留4口</x:v>
      </x:c>
      <x:c r="C48" s="398"/>
      <x:c r="D48" s="398"/>
      <x:c r="E48" s="398"/>
      <x:c r="F48" s="398"/>
      <x:c r="G48" s="398"/>
      <x:c r="H48" s="377"/>
    </x:row>
    <x:row r="49" ht="29" customHeight="1">
      <x:c r="A49" s="377"/>
      <x:c r="B49" s="398"/>
      <x:c r="C49" s="398"/>
      <x:c r="D49" s="398"/>
      <x:c r="E49" s="398"/>
      <x:c r="F49" s="398"/>
      <x:c r="G49" s="398"/>
      <x:c r="H49" s="377"/>
    </x:row>
    <x:row r="50" ht="29" customHeight="1">
      <x:c r="A50" s="377"/>
      <x:c r="B50" s="377"/>
      <x:c r="C50" s="377"/>
      <x:c r="D50" s="377"/>
      <x:c r="E50" s="377"/>
      <x:c r="F50" s="377"/>
      <x:c r="G50" s="377"/>
      <x:c r="H50" s="377"/>
    </x:row>
    <x:row r="51" ht="29" customHeight="1">
      <x:c r="A51" s="377" t="str">
        <x:v>↓ LAN1 / 2.5G + PoE</x:v>
      </x:c>
      <x:c r="B51" s="377"/>
      <x:c r="C51" s="377" t="str">
        <x:v>↓ LAN2 / 2.5G + PoE</x:v>
      </x:c>
      <x:c r="D51" s="377"/>
      <x:c r="E51" s="377" t="str">
        <x:v>↓ LAN3 / 2.5G数据</x:v>
      </x:c>
      <x:c r="F51" s="377"/>
      <x:c r="G51" s="377" t="str">
        <x:v>↓ LAN4 / 2.5G数据</x:v>
      </x:c>
      <x:c r="H51" s="377"/>
    </x:row>
    <x:row r="52" ht="29" customHeight="1">
      <x:c r="A52" s="399" t="str">
        <x:v>TRUNK-MASTER
主卧775-Wall
网关直接PoE
无卧室箱</x:v>
      </x:c>
      <x:c r="B52" s="399"/>
      <x:c r="C52" s="399" t="str">
        <x:v>TRUNK-SECOND
次卧 RJ45 墙口预留
可选已有 TL-7DR3630
非 PoE / 独立市电</x:v>
      </x:c>
      <x:c r="D52" s="399"/>
      <x:c r="E52" s="399" t="str">
        <x:v>TRUNK-STUDIO
工作室ES210XPP-M2
本地市电/双10G
PoE直供工作室AP</x:v>
      </x:c>
      <x:c r="F52" s="399"/>
      <x:c r="G52" s="399" t="str">
        <x:v>TRUNK-HALL
大厅ES206XPP-M2
本地市电
PoE直供大厅AP</x:v>
      </x:c>
      <x:c r="H52" s="399"/>
    </x:row>
    <x:row r="53" ht="29" customHeight="1">
      <x:c r="A53" s="399"/>
      <x:c r="B53" s="399"/>
      <x:c r="C53" s="399"/>
      <x:c r="D53" s="399"/>
      <x:c r="E53" s="399"/>
      <x:c r="F53" s="399"/>
      <x:c r="G53" s="399"/>
      <x:c r="H53" s="399"/>
    </x:row>
    <x:row r="54" ht="29" customHeight="1">
      <x:c r="A54" s="399"/>
      <x:c r="B54" s="399"/>
      <x:c r="C54" s="399"/>
      <x:c r="D54" s="399"/>
      <x:c r="E54" s="399"/>
      <x:c r="F54" s="399"/>
      <x:c r="G54" s="399"/>
      <x:c r="H54" s="399"/>
    </x:row>
    <x:row r="55" ht="29" customHeight="1">
      <x:c r="A55" s="399"/>
      <x:c r="B55" s="399"/>
      <x:c r="C55" s="399"/>
      <x:c r="D55" s="399"/>
      <x:c r="E55" s="399"/>
      <x:c r="F55" s="399"/>
      <x:c r="G55" s="399"/>
      <x:c r="H55" s="399"/>
    </x:row>
    <x:row r="56" ht="29" customHeight="1">
      <x:c r="A56" s="377"/>
      <x:c r="B56" s="377"/>
      <x:c r="C56" s="377"/>
      <x:c r="D56" s="377"/>
      <x:c r="E56" s="377"/>
      <x:c r="F56" s="377"/>
      <x:c r="G56" s="377"/>
      <x:c r="H56" s="377"/>
    </x:row>
    <x:row r="57" ht="29" customHeight="1">
      <x:c r="A57" s="377" t="str">
        <x:v>房内连接与3A相同：Mac 10G RJ45、NAS 10G SFP+；PC/Mac mini/J3455接工作室交换机。
Apple TV/投影保持有线，可接AP下联或交换机。
不买注入器/铜模块，不启用AP PoE Out。</x:v>
      </x:c>
      <x:c r="B57" s="377"/>
      <x:c r="C57" s="377"/>
      <x:c r="D57" s="377"/>
      <x:c r="E57" s="377"/>
      <x:c r="F57" s="377"/>
      <x:c r="G57" s="377"/>
      <x:c r="H57" s="377"/>
    </x:row>
    <x:row r="58" ht="29" customHeight="1">
      <x:c r="A58" s="377"/>
      <x:c r="B58" s="377"/>
      <x:c r="C58" s="377"/>
      <x:c r="D58" s="377"/>
      <x:c r="E58" s="377"/>
      <x:c r="F58" s="377"/>
      <x:c r="G58" s="377"/>
      <x:c r="H58" s="377"/>
    </x:row>
    <x:row r="59" ht="29" customHeight="1">
      <x:c r="A59" s="377"/>
      <x:c r="B59" s="377"/>
      <x:c r="C59" s="377"/>
      <x:c r="D59" s="377"/>
      <x:c r="E59" s="377"/>
      <x:c r="F59" s="377"/>
      <x:c r="G59" s="377"/>
      <x:c r="H59" s="377"/>
    </x:row>
    <x:row r="60" ht="29" customHeight="1">
      <x:c r="A60" s="377"/>
      <x:c r="B60" s="377"/>
      <x:c r="C60" s="377"/>
      <x:c r="D60" s="377"/>
      <x:c r="E60" s="377"/>
      <x:c r="F60" s="377"/>
      <x:c r="G60" s="377"/>
      <x:c r="H60" s="377"/>
    </x:row>
    <x:row r="61" ht="29" customHeight="1">
      <x:c r="A61" s="400" t="str">
        <x:v>3B为PoE Fusion整合比较，当前未选用。当前3A三频暂定定稿。
PoE Fusion需核到货噪声、供货和交流输入；当前Amazon价高于3A $30.01。
任何方案均需现场验收VLAN、跨房并发、PoE协商、冷启动与恢复。</x:v>
      </x:c>
      <x:c r="B61" s="400"/>
      <x:c r="C61" s="400"/>
      <x:c r="D61" s="400"/>
      <x:c r="E61" s="400"/>
      <x:c r="F61" s="400"/>
      <x:c r="G61" s="400"/>
      <x:c r="H61" s="400"/>
    </x:row>
    <x:row r="62" ht="29" customHeight="1">
      <x:c r="A62" s="400"/>
      <x:c r="B62" s="400"/>
      <x:c r="C62" s="400"/>
      <x:c r="D62" s="400"/>
      <x:c r="E62" s="400"/>
      <x:c r="F62" s="400"/>
      <x:c r="G62" s="400"/>
      <x:c r="H62" s="400"/>
    </x:row>
    <x:row r="63" ht="29" customHeight="1">
      <x:c r="A63" s="400"/>
      <x:c r="B63" s="400"/>
      <x:c r="C63" s="400"/>
      <x:c r="D63" s="400"/>
      <x:c r="E63" s="400"/>
      <x:c r="F63" s="400"/>
      <x:c r="G63" s="400"/>
      <x:c r="H63" s="400"/>
    </x:row>
    <x:row r="64" ht="29" customHeight="1">
      <x:c r="A64" s="377"/>
      <x:c r="B64" s="377"/>
      <x:c r="C64" s="377"/>
      <x:c r="D64" s="377"/>
      <x:c r="E64" s="377"/>
      <x:c r="F64" s="377"/>
      <x:c r="G64" s="377"/>
      <x:c r="H64" s="377"/>
    </x:row>
    <x:row r="65" ht="29" customHeight="1">
      <x:c r="A65" s="377"/>
      <x:c r="B65" s="377"/>
      <x:c r="C65" s="377"/>
      <x:c r="D65" s="377"/>
      <x:c r="E65" s="377"/>
      <x:c r="F65" s="377"/>
      <x:c r="G65" s="377"/>
      <x:c r="H65" s="377"/>
    </x:row>
  </x:sheetData>
  <x:mergeCells>
    <x:mergeCell ref="A1:H1"/>
    <x:mergeCell ref="A2:H3"/>
    <x:mergeCell ref="C5:F6"/>
    <x:mergeCell ref="C8:F9"/>
    <x:mergeCell ref="B11:G13"/>
    <x:mergeCell ref="C7:F7"/>
    <x:mergeCell ref="C10:F10"/>
    <x:mergeCell ref="A14:B14"/>
    <x:mergeCell ref="C14:D14"/>
    <x:mergeCell ref="E14:F14"/>
    <x:mergeCell ref="G14:H14"/>
    <x:mergeCell ref="A15:B18"/>
    <x:mergeCell ref="C15:D18"/>
    <x:mergeCell ref="E15:F18"/>
    <x:mergeCell ref="G15:H18"/>
    <x:mergeCell ref="A20:B23"/>
    <x:mergeCell ref="C20:D23"/>
    <x:mergeCell ref="E20:F23"/>
    <x:mergeCell ref="G20:H23"/>
    <x:mergeCell ref="A19:B19"/>
    <x:mergeCell ref="C19:D19"/>
    <x:mergeCell ref="E19:F19"/>
    <x:mergeCell ref="G19:H19"/>
    <x:mergeCell ref="A25:H27"/>
    <x:mergeCell ref="A29:H29"/>
    <x:mergeCell ref="A30:B30"/>
    <x:mergeCell ref="C30:H30"/>
    <x:mergeCell ref="A31:B31"/>
    <x:mergeCell ref="C31:H31"/>
    <x:mergeCell ref="A32:B32"/>
    <x:mergeCell ref="C32:H32"/>
    <x:mergeCell ref="A33:B33"/>
    <x:mergeCell ref="C33:H33"/>
    <x:mergeCell ref="A34:B34"/>
    <x:mergeCell ref="C34:H34"/>
    <x:mergeCell ref="A35:B35"/>
    <x:mergeCell ref="C35:H35"/>
    <x:mergeCell ref="A36:B36"/>
    <x:mergeCell ref="C36:H36"/>
    <x:mergeCell ref="A37:B37"/>
    <x:mergeCell ref="C37:H37"/>
    <x:mergeCell ref="A38:B38"/>
    <x:mergeCell ref="C38:H38"/>
    <x:mergeCell ref="A39:B39"/>
    <x:mergeCell ref="C39:H39"/>
    <x:mergeCell ref="A40:B40"/>
    <x:mergeCell ref="C40:H40"/>
    <x:mergeCell ref="A42:H43"/>
    <x:mergeCell ref="A46:H46"/>
    <x:mergeCell ref="B48:G49"/>
    <x:mergeCell ref="A51:B51"/>
    <x:mergeCell ref="C51:D51"/>
    <x:mergeCell ref="E51:F51"/>
    <x:mergeCell ref="G51:H51"/>
    <x:mergeCell ref="A52:B55"/>
    <x:mergeCell ref="C52:D55"/>
    <x:mergeCell ref="E52:F55"/>
    <x:mergeCell ref="G52:H55"/>
    <x:mergeCell ref="A57:H59"/>
    <x:mergeCell ref="A61:H6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A7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39" hidden="0" customWidth="1"/>
    <x:col min="5" max="5" width="14" hidden="0" customWidth="1"/>
    <x:col min="6" max="6" width="12" hidden="0" customWidth="1"/>
    <x:col min="7" max="7" width="13" hidden="0" customWidth="1"/>
    <x:col min="8" max="8" width="13" hidden="0" customWidth="1"/>
    <x:col min="9" max="9" width="45" hidden="0" customWidth="1"/>
    <x:col min="10" max="10" width="30" hidden="0" customWidth="1"/>
    <x:col min="11" max="11" width="28" hidden="0" customWidth="1"/>
    <x:col min="12" max="12" width="48" hidden="0" customWidth="1"/>
    <x:col min="13" max="13" width="13" hidden="0" customWidth="1"/>
    <x:col min="14" max="14" width="14" hidden="0" customWidth="1"/>
    <x:col min="15" max="15" width="16" hidden="0" customWidth="1"/>
    <x:col min="16" max="16" width="48" hidden="0" customWidth="1"/>
  </x:cols>
  <x:sheetData>
    <x:row r="1" ht="32" customHeight="1">
      <x:c r="A1" s="338" t="str">
        <x:v>基础网络采购与报价：3A三频暂定定稿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  <x:c r="L1" s="254"/>
      <x:c r="M1" s="254"/>
      <x:c r="N1" s="254"/>
      <x:c r="O1" s="254"/>
      <x:c r="P1" s="254"/>
    </x:row>
    <x:row r="2" ht="26" customHeight="1">
      <x:c r="A2" s="255" t="str">
        <x:v>2026-10-20。当前暂定定稿：3A三频，EAP775-Wall×2+EAP772×1。双频725×2+723×1保留为预算备选。次卧只留Cat6A/RJ45。 单价与采购入口由同一型号数据生成；网址与点击目标一致。价格未含税运、进口、辅材和施工。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  <x:c r="M2" s="255"/>
      <x:c r="N2" s="255"/>
      <x:c r="O2" s="255"/>
      <x:c r="P2" s="255"/>
    </x:row>
    <x:row r="3" ht="26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  <x:c r="N3" s="262"/>
      <x:c r="O3" s="262"/>
      <x:c r="P3" s="262"/>
    </x:row>
    <x:row r="4" ht="24" customHeight="1">
      <x:c r="A4" s="262"/>
      <x:c r="B4" s="262"/>
      <x:c r="C4" s="262"/>
      <x:c r="D4" s="262"/>
      <x:c r="E4" s="262"/>
      <x:c r="F4" s="262"/>
      <x:c r="G4" s="262"/>
      <x:c r="H4" s="262"/>
      <x:c r="I4" s="262"/>
      <x:c r="J4" s="262"/>
      <x:c r="K4" s="262"/>
      <x:c r="L4" s="262"/>
      <x:c r="M4" s="262"/>
      <x:c r="N4" s="262"/>
      <x:c r="O4" s="262"/>
      <x:c r="P4" s="262"/>
    </x:row>
    <x:row r="5" ht="28" customHeight="1">
      <x:c r="A5" s="265" t="str">
        <x:v>采购清单：先筛选阶段和状态；未复尺项目不要按零元或固定数量下单</x:v>
      </x:c>
      <x:c r="B5" s="266"/>
      <x:c r="C5" s="266"/>
      <x:c r="D5" s="266"/>
      <x:c r="E5" s="266"/>
      <x:c r="F5" s="266"/>
      <x:c r="G5" s="266"/>
      <x:c r="H5" s="266"/>
      <x:c r="I5" s="266"/>
      <x:c r="J5" s="266"/>
      <x:c r="K5" s="266"/>
      <x:c r="L5" s="266"/>
      <x:c r="M5" s="266"/>
      <x:c r="N5" s="266"/>
      <x:c r="O5" s="266"/>
      <x:c r="P5" s="267"/>
    </x:row>
    <x:row r="6" ht="27" customHeight="1">
      <x:c r="A6" s="19" t="str">
        <x:v>阶段</x:v>
      </x:c>
      <x:c r="B6" s="20" t="str">
        <x:v>优先级</x:v>
      </x:c>
      <x:c r="C6" s="20" t="str">
        <x:v>角色/点位</x:v>
      </x:c>
      <x:c r="D6" s="20" t="str">
        <x:v>型号/规格</x:v>
      </x:c>
      <x:c r="E6" s="20" t="str">
        <x:v>数量/待复尺</x:v>
      </x:c>
      <x:c r="F6" s="20" t="str">
        <x:v>选型状态</x:v>
      </x:c>
      <x:c r="G6" s="20" t="str">
        <x:v>参考单价USD</x:v>
      </x:c>
      <x:c r="H6" s="20" t="str">
        <x:v>参考小计USD</x:v>
      </x:c>
      <x:c r="I6" s="20" t="str">
        <x:v>关键规格与用途</x:v>
      </x:c>
      <x:c r="J6" s="20" t="str">
        <x:v>供电/PoE</x:v>
      </x:c>
      <x:c r="K6" s="20" t="str">
        <x:v>端口/介质</x:v>
      </x:c>
      <x:c r="L6" s="20" t="str">
        <x:v>要求/注意事项</x:v>
      </x:c>
      <x:c r="M6" s="20" t="str">
        <x:v>采购进度</x:v>
      </x:c>
      <x:c r="N6" s="20" t="str">
        <x:v>实报单价CNY</x:v>
      </x:c>
      <x:c r="O6" s="20" t="str">
        <x:v>实报小计CNY</x:v>
      </x:c>
      <x:c r="P6" s="21" t="str">
        <x:v>Amazon/官方入口</x:v>
      </x:c>
    </x:row>
    <x:row r="7" ht="40" customHeight="1">
      <x:c r="A7" s="283" t="str">
        <x:v>装修前/入住前</x:v>
      </x:c>
      <x:c r="B7" s="283" t="str">
        <x:v>必需</x:v>
      </x:c>
      <x:c r="C7" s="283" t="str">
        <x:v>主路由/网关</x:v>
      </x:c>
      <x:c r="D7" s="283" t="str">
        <x:v>Fusion 2.5G 普通版（非PoE）</x:v>
      </x:c>
      <x:c r="E7" s="284" t="n">
        <x:v>1</x:v>
      </x:c>
      <x:c r="F7" s="283" t="str">
        <x:v>暂定，未购</x:v>
      </x:c>
      <x:c r="G7" s="285" t="n">
        <x:f>'差价对比'!C18</x:f>
        <x:v>169.99</x:v>
      </x:c>
      <x:c r="H7" s="285" t="n">
        <x:f>IF(AND(ISNUMBER(E7),ISNUMBER(G7)),E7*G7,"待数量/报价")</x:f>
        <x:v>169.99</x:v>
      </x:c>
      <x:c r="I7" s="283" t="str">
        <x:v>1×2.5G WAN + 4×2.5G LAN/WAN；内置Omada控制器；无PoE/无SFP/无Wi-Fi</x:v>
      </x:c>
      <x:c r="J7" s="283" t="str">
        <x:v>100–240V适配器；不供PoE</x:v>
      </x:c>
      <x:c r="K7" s="283" t="str">
        <x:v>光猫后、中央交换机前</x:v>
      </x:c>
      <x:c r="L7" s="283" t="str">
        <x:v>美国官方/TP-Link；最终需确认运营商PPPoE、IPv6、地区SKU</x:v>
      </x:c>
      <x:c r="M7" s="283" t="str">
        <x:v>未下单</x:v>
      </x:c>
      <x:c r="N7" s="286"/>
      <x:c r="O7" s="287" t="str">
        <x:f>IF(AND(ISNUMBER(E7),ISNUMBER(N7)),E7*N7,"待数量/报价")</x:f>
        <x:v>待数量/报价</x:v>
      </x:c>
      <x:c r="P7" s="288" t="str">
        <x:v>https://www.amazon.com/dp/B0H4P7XX8G</x:v>
      </x:c>
    </x:row>
    <x:row r="8" ht="40" customHeight="1">
      <x:c r="A8" s="289" t="str">
        <x:v>装修前/入住前</x:v>
      </x:c>
      <x:c r="B8" s="289" t="str">
        <x:v>必需</x:v>
      </x:c>
      <x:c r="C8" s="289" t="str">
        <x:v>中央PoE交换机（3A）</x:v>
      </x:c>
      <x:c r="D8" s="289" t="str">
        <x:v>Omada ES206XPP-M2</x:v>
      </x:c>
      <x:c r="E8" s="290" t="n">
        <x:v>1</x:v>
      </x:c>
      <x:c r="F8" s="289" t="str">
        <x:v>暂定，未购</x:v>
      </x:c>
      <x:c r="G8" s="291" t="n">
        <x:f>'差价对比'!C21</x:f>
        <x:v>149.99</x:v>
      </x:c>
      <x:c r="H8" s="291" t="n">
        <x:f>IF(AND(ISNUMBER(E8),ISNUMBER(G8)),E8*G8,"待数量/报价")</x:f>
        <x:v>149.99</x:v>
      </x:c>
      <x:c r="I8" s="289" t="str">
        <x:v>5×2.5G RJ45（其中4口PoE++）+1×10G SFP+；Fusion和四条主干占满铜口</x:v>
      </x:c>
      <x:c r="J8" s="289" t="str">
        <x:v>90W/口、120W 全机；首期只给主卧 AP 一个口按 at 模式规划</x:v>
      </x:c>
      <x:c r="K8" s="289" t="str">
        <x:v>中央柜；次卧主干预留，占用规划口但未接设备时实际空闲</x:v>
      </x:c>
      <x:c r="L8" s="289" t="str">
        <x:v>主卧 AP 口启用 PoE；次卧 RJ45 端口默认关闭 PoE；3B 取消本机</x:v>
      </x:c>
      <x:c r="M8" s="289" t="str">
        <x:v>未下单</x:v>
      </x:c>
      <x:c r="N8" s="292"/>
      <x:c r="O8" s="293" t="str">
        <x:f>IF(AND(ISNUMBER(E8),ISNUMBER(N8)),E8*N8,"待数量/报价")</x:f>
        <x:v>待数量/报价</x:v>
      </x:c>
      <x:c r="P8" s="294" t="str">
        <x:v>https://www.amazon.com/dp/B0GKQ5SD2L</x:v>
      </x:c>
    </x:row>
    <x:row r="9" ht="40" customHeight="1">
      <x:c r="A9" s="289" t="str">
        <x:v>装修前/入住前</x:v>
      </x:c>
      <x:c r="B9" s="289" t="str">
        <x:v>必需</x:v>
      </x:c>
      <x:c r="C9" s="289" t="str">
        <x:v>工作室/电竞房交换机</x:v>
      </x:c>
      <x:c r="D9" s="289" t="str">
        <x:v>Omada ES210XPP-M2</x:v>
      </x:c>
      <x:c r="E9" s="290" t="n">
        <x:v>1</x:v>
      </x:c>
      <x:c r="F9" s="289" t="str">
        <x:v>暂定，未购</x:v>
      </x:c>
      <x:c r="G9" s="291" t="n">
        <x:f>'差价对比'!C20</x:f>
        <x:v>229.99</x:v>
      </x:c>
      <x:c r="H9" s="291" t="n">
        <x:f>IF(AND(ISNUMBER(E9),ISNUMBER(G9)),E9*G9,"待数量/报价")</x:f>
        <x:v>229.99</x:v>
      </x:c>
      <x:c r="I9" s="289" t="str">
        <x:v>8×2.5G PoE++ + 1×10G RJ45 + 1×10G SFP+；Mac/NAS各用独立10G口</x:v>
      </x:c>
      <x:c r="J9" s="289" t="str">
        <x:v>90W/口，200W总；本地AP直接PoE</x:v>
      </x:c>
      <x:c r="K9" s="289" t="str">
        <x:v>工作室箱；中央2.5G上联；本地双10G</x:v>
      </x:c>
      <x:c r="L9" s="289" t="str">
        <x:v>保留一台；原生10G RJ45给Mac，SFP+给NAS；不买铜模块</x:v>
      </x:c>
      <x:c r="M9" s="289" t="str">
        <x:v>未下单</x:v>
      </x:c>
      <x:c r="N9" s="292"/>
      <x:c r="O9" s="293" t="str">
        <x:f>IF(AND(ISNUMBER(E9),ISNUMBER(N9)),E9*N9,"待数量/报价")</x:f>
        <x:v>待数量/报价</x:v>
      </x:c>
      <x:c r="P9" s="294" t="str">
        <x:v>https://www.amazon.com/dp/B0HB17QTKX</x:v>
      </x:c>
    </x:row>
    <x:row r="10" ht="36" customHeight="1">
      <x:c r="A10" s="289" t="str">
        <x:v>装修前/入住前</x:v>
      </x:c>
      <x:c r="B10" s="289" t="str">
        <x:v>必需</x:v>
      </x:c>
      <x:c r="C10" s="289" t="str">
        <x:v>大厅交换机</x:v>
      </x:c>
      <x:c r="D10" s="289" t="str">
        <x:v>Omada ES206XPP-M2</x:v>
      </x:c>
      <x:c r="E10" s="290" t="n">
        <x:v>1</x:v>
      </x:c>
      <x:c r="F10" s="289" t="str">
        <x:v>暂定，未购</x:v>
      </x:c>
      <x:c r="G10" s="291" t="n">
        <x:f>'差价对比'!C21</x:f>
        <x:v>149.99</x:v>
      </x:c>
      <x:c r="H10" s="291" t="n">
        <x:f>IF(AND(ISNUMBER(E10),ISNUMBER(G10)),E10*G10,"待数量/报价")</x:f>
        <x:v>149.99</x:v>
      </x:c>
      <x:c r="I10" s="289" t="str">
        <x:v>5×2.5G（其中4口PoE++）+1×10G SFP+；上联/AP/电视/网关占4铜口</x:v>
      </x:c>
      <x:c r="J10" s="289" t="str">
        <x:v>90W/口，120W总；大厅AP按at模式规划</x:v>
      </x:c>
      <x:c r="K10" s="289" t="str">
        <x:v>大厅箱；匹配PoE口直供吊顶AP</x:v>
      </x:c>
      <x:c r="L10" s="289" t="str">
        <x:v>只给AP端口启用PoE；网关或摄像头按最终型号另核供电</x:v>
      </x:c>
      <x:c r="M10" s="289" t="str">
        <x:v>未下单</x:v>
      </x:c>
      <x:c r="N10" s="292"/>
      <x:c r="O10" s="293" t="str">
        <x:f>IF(AND(ISNUMBER(E10),ISNUMBER(N10)),E10*N10,"待数量/报价")</x:f>
        <x:v>待数量/报价</x:v>
      </x:c>
      <x:c r="P10" s="294" t="str">
        <x:v>https://www.amazon.com/dp/B0GKQ5SD2L</x:v>
      </x:c>
    </x:row>
    <x:row r="11" ht="40" customHeight="1">
      <x:c r="A11" s="289" t="str">
        <x:v>装修前/入住前</x:v>
      </x:c>
      <x:c r="B11" s="289" t="str">
        <x:v>必需</x:v>
      </x:c>
      <x:c r="C11" s="289" t="str">
        <x:v>主卧/工作室面板 AP</x:v>
      </x:c>
      <x:c r="D11" s="289" t="str">
        <x:v>Omada EAP775-Wall 三频 Wi-Fi 7</x:v>
      </x:c>
      <x:c r="E11" s="290" t="n">
        <x:v>2</x:v>
      </x:c>
      <x:c r="F11" s="289" t="str">
        <x:v>暂定，未购</x:v>
      </x:c>
      <x:c r="G11" s="291" t="n">
        <x:f>'差价对比'!C22</x:f>
        <x:v>179.99</x:v>
      </x:c>
      <x:c r="H11" s="291" t="n">
        <x:f>IF(AND(ISNUMBER(E11),ISNUMBER(G11)),E11*G11,"待数量/报价")</x:f>
        <x:v>359.98</x:v>
      </x:c>
      <x:c r="I11" s="289" t="str">
        <x:v>BE11000三频（2.4/5/6GHz）；1×2.5G上联 + 1×2.5G + 3×1G下联；面板安装</x:v>
      </x:c>
      <x:c r="J11" s="289" t="str">
        <x:v>802.3at/bt输入；45W上限含25W下游PoE Out，本案禁用转供；实机协商须核</x:v>
      </x:c>
      <x:c r="K11" s="289" t="str">
        <x:v>主卧中央 PoE；工作室本地 PoE；次卧暂不购 AP</x:v>
      </x:c>
      <x:c r="L11" s="289" t="str">
        <x:v>核地区SKU、安装件、控制器、PoE协商及6GHz当地合规；四下联口按实物验收</x:v>
      </x:c>
      <x:c r="M11" s="289" t="str">
        <x:v>未下单</x:v>
      </x:c>
      <x:c r="N11" s="292"/>
      <x:c r="O11" s="293" t="str">
        <x:f>IF(AND(ISNUMBER(E11),ISNUMBER(N11)),E11*N11,"待数量/报价")</x:f>
        <x:v>待数量/报价</x:v>
      </x:c>
      <x:c r="P11" s="294" t="str">
        <x:v>https://www.amazon.com/dp/B0G88FG4QH</x:v>
      </x:c>
    </x:row>
    <x:row r="12" ht="40" customHeight="1">
      <x:c r="A12" s="289" t="str">
        <x:v>装修前/入住前</x:v>
      </x:c>
      <x:c r="B12" s="289" t="str">
        <x:v>必需</x:v>
      </x:c>
      <x:c r="C12" s="289" t="str">
        <x:v>大厅吊顶AP</x:v>
      </x:c>
      <x:c r="D12" s="289" t="str">
        <x:v>Omada EAP772 三频 Wi-Fi 7</x:v>
      </x:c>
      <x:c r="E12" s="290" t="n">
        <x:v>1</x:v>
      </x:c>
      <x:c r="F12" s="289" t="str">
        <x:v>暂定，未购</x:v>
      </x:c>
      <x:c r="G12" s="291" t="n">
        <x:f>'差价对比'!C23</x:f>
        <x:v>169.99</x:v>
      </x:c>
      <x:c r="H12" s="291" t="n">
        <x:f>IF(AND(ISNUMBER(E12),ISNUMBER(G12)),E12*G12,"待数量/报价")</x:f>
        <x:v>169.99</x:v>
      </x:c>
      <x:c r="I12" s="289" t="str">
        <x:v>BE11000三频（2.4/5/6GHz）；1×2.5G有线回程；吊顶可见面安装</x:v>
      </x:c>
      <x:c r="J12" s="289" t="str">
        <x:v>802.3at；PoE最大25.4W；按at端口30W分配上限规划</x:v>
      </x:c>
      <x:c r="K12" s="289" t="str">
        <x:v>大厅ES206XPP匹配PoE口直达AP</x:v>
      </x:c>
      <x:c r="L12" s="289" t="str">
        <x:v>核地区SKU、安装件、控制器和当地6GHz合规；吊顶可见面，不藏顶内</x:v>
      </x:c>
      <x:c r="M12" s="289" t="str">
        <x:v>未下单</x:v>
      </x:c>
      <x:c r="N12" s="292"/>
      <x:c r="O12" s="293" t="str">
        <x:f>IF(AND(ISNUMBER(E12),ISNUMBER(N12)),E12*N12,"待数量/报价")</x:f>
        <x:v>待数量/报价</x:v>
      </x:c>
      <x:c r="P12" s="294" t="str">
        <x:v>https://www.amazon.com/dp/B0D2M26NYW</x:v>
      </x:c>
    </x:row>
    <x:row r="13" ht="27" customHeight="1">
      <x:c r="A13" s="289" t="str">
        <x:v>装修/水电</x:v>
      </x:c>
      <x:c r="B13" s="289" t="str">
        <x:v>必需</x:v>
      </x:c>
      <x:c r="C13" s="289" t="str">
        <x:v>运营商光猫/ONT</x:v>
      </x:c>
      <x:c r="D13" s="289" t="str">
        <x:v>运营商提供型号，桥接优先</x:v>
      </x:c>
      <x:c r="E13" s="290" t="n">
        <x:v>1</x:v>
      </x:c>
      <x:c r="F13" s="289" t="str">
        <x:v>待核验</x:v>
      </x:c>
      <x:c r="G13" s="291"/>
      <x:c r="H13" s="291" t="str">
        <x:f>IF(AND(ISNUMBER(E13),ISNUMBER(G13)),E13*G13,"")</x:f>
      </x:c>
      <x:c r="I13" s="289" t="str">
        <x:v>PON接入、注册认证、光纤入户；Fusion不能替代普通光猫</x:v>
      </x:c>
      <x:c r="J13" s="289" t="str">
        <x:v>按运营商设备铭牌/本地电压</x:v>
      </x:c>
      <x:c r="K13" s="289" t="str">
        <x:v>入户弱电位置</x:v>
      </x:c>
      <x:c r="L13" s="289" t="str">
        <x:v>确认桥接、PPPoE、IPv6、IPTV/电话和LAN速率</x:v>
      </x:c>
      <x:c r="M13" s="289" t="str">
        <x:v>未下单</x:v>
      </x:c>
      <x:c r="N13" s="292"/>
      <x:c r="O13" s="293" t="str">
        <x:f>IF(AND(ISNUMBER(E13),ISNUMBER(N13)),E13*N13,"待数量/报价")</x:f>
        <x:v>待数量/报价</x:v>
      </x:c>
      <x:c r="P13" s="294" t="str"/>
    </x:row>
    <x:row r="14" ht="42" customHeight="1">
      <x:c r="A14" s="289" t="str">
        <x:v>装修/水电</x:v>
      </x:c>
      <x:c r="B14" s="289" t="str">
        <x:v>必需</x:v>
      </x:c>
      <x:c r="C14" s="289" t="str">
        <x:v>中央主干线缆</x:v>
      </x:c>
      <x:c r="D14" s="289" t="str">
        <x:v>Cat6A实芯纯铜（禁止CCA）</x:v>
      </x:c>
      <x:c r="E14" s="290" t="n">
        <x:v>4</x:v>
      </x:c>
      <x:c r="F14" s="289" t="str">
        <x:v>待复尺</x:v>
      </x:c>
      <x:c r="G14" s="291"/>
      <x:c r="H14" s="291" t="str">
        <x:f>IF(AND(ISNUMBER(E14),ISNUMBER(G14)),E14*G14,"")</x:f>
      </x:c>
      <x:c r="I14" s="289" t="str">
        <x:v>主卧直达 AP；次卧端接 RJ45 墙口；工作室、大厅到本地交换机；四条目标 2.5GbE</x:v>
      </x:c>
      <x:c r="J14" s="289" t="str">
        <x:v>数据链路；仅主卧主干当前承载 PoE；次卧默认不供电</x:v>
      </x:c>
      <x:c r="K14" s="289" t="str">
        <x:v>中央柜星型布线；保留空管和牵引线</x:v>
      </x:c>
      <x:c r="L14" s="289" t="str">
        <x:v>按长度复尺；完整通道认证；不把Cat7/8当必需</x:v>
      </x:c>
      <x:c r="M14" s="289" t="str">
        <x:v>未下单</x:v>
      </x:c>
      <x:c r="N14" s="295" t="str">
        <x:v>到施工表报价</x:v>
      </x:c>
      <x:c r="O14" s="295" t="str">
        <x:v>见施工布线</x:v>
      </x:c>
      <x:c r="P14" s="294" t="str"/>
    </x:row>
    <x:row r="15" ht="42" customHeight="1">
      <x:c r="A15" s="289" t="str">
        <x:v>装修/水电</x:v>
      </x:c>
      <x:c r="B15" s="289" t="str">
        <x:v>必需</x:v>
      </x:c>
      <x:c r="C15" s="289" t="str">
        <x:v>房内Cat6A分支</x:v>
      </x:c>
      <x:c r="D15" s="289" t="str">
        <x:v>Cat6A实芯纯铜，按终端位复尺</x:v>
      </x:c>
      <x:c r="E15" s="290" t="str">
        <x:v>按实测</x:v>
      </x:c>
      <x:c r="F15" s="289" t="str">
        <x:v>待复尺</x:v>
      </x:c>
      <x:c r="G15" s="291"/>
      <x:c r="H15" s="291" t="str">
        <x:f>IF(AND(ISNUMBER(E15),ISNUMBER(G15)),E15*G15,"")</x:f>
      </x:c>
      <x:c r="I15" s="289" t="str">
        <x:v>工作室交换机→面板AP/Mac/J3455/PC等；大厅交换机→吊顶AP/电视/HALL-IOT-GW</x:v>
      </x:c>
      <x:c r="J15" s="289" t="str">
        <x:v>按终端决定是否PoE</x:v>
      </x:c>
      <x:c r="K15" s="289" t="str">
        <x:v>房间箱内和墙面口</x:v>
      </x:c>
      <x:c r="L15" s="289" t="str">
        <x:v>Apple TV/米家投影可选接AP的1G下联，已有设备不采购</x:v>
      </x:c>
      <x:c r="M15" s="289" t="str">
        <x:v>未下单</x:v>
      </x:c>
      <x:c r="N15" s="295" t="str">
        <x:v>到施工表报价</x:v>
      </x:c>
      <x:c r="O15" s="295" t="str">
        <x:v>见施工布线</x:v>
      </x:c>
      <x:c r="P15" s="294" t="str"/>
    </x:row>
    <x:row r="16" ht="42" customHeight="1">
      <x:c r="A16" s="289" t="str">
        <x:v>装修/水电</x:v>
      </x:c>
      <x:c r="B16" s="289" t="str">
        <x:v>必需</x:v>
      </x:c>
      <x:c r="C16" s="289" t="str">
        <x:v>端接与配线</x:v>
      </x:c>
      <x:c r="D16" s="289" t="str">
        <x:v>Cat6A keystone/墙面板/配线架/跳线/MPTL端头</x:v>
      </x:c>
      <x:c r="E16" s="290" t="str">
        <x:v>按端接表</x:v>
      </x:c>
      <x:c r="F16" s="289" t="str">
        <x:v>待复尺</x:v>
      </x:c>
      <x:c r="G16" s="291"/>
      <x:c r="H16" s="291" t="str">
        <x:f>IF(AND(ISNUMBER(E16),ISNUMBER(G16)),E16*G16,"")</x:f>
      </x:c>
      <x:c r="I16" s="289" t="str">
        <x:v>按永久链路和房内分支分别编号；两端模块方案才按8主干模块+8跳线估算</x:v>
      </x:c>
      <x:c r="J16" s="289" t="str">
        <x:v>屏蔽系统需连续接地；PoE兼容</x:v>
      </x:c>
      <x:c r="K16" s="289" t="str">
        <x:v>中央柜、工作室箱、大厅箱、AP底盒</x:v>
      </x:c>
      <x:c r="L16" s="289" t="str">
        <x:v>施工方提供端接表、线序和测试报告</x:v>
      </x:c>
      <x:c r="M16" s="289" t="str">
        <x:v>未下单</x:v>
      </x:c>
      <x:c r="N16" s="295" t="str">
        <x:v>到施工表报价</x:v>
      </x:c>
      <x:c r="O16" s="295" t="str">
        <x:v>见施工布线</x:v>
      </x:c>
      <x:c r="P16" s="294" t="str"/>
    </x:row>
    <x:row r="17" ht="40" customHeight="1">
      <x:c r="A17" s="289" t="str">
        <x:v>装修/水电</x:v>
      </x:c>
      <x:c r="B17" s="289" t="str">
        <x:v>必需</x:v>
      </x:c>
      <x:c r="C17" s="289" t="str">
        <x:v>核心机柜/弱电箱</x:v>
      </x:c>
      <x:c r="D17" s="289" t="str">
        <x:v>可维护、通风、强弱电分隔的中央设备位</x:v>
      </x:c>
      <x:c r="E17" s="290" t="n">
        <x:v>1</x:v>
      </x:c>
      <x:c r="F17" s="289" t="str">
        <x:v>待复尺</x:v>
      </x:c>
      <x:c r="G17" s="291"/>
      <x:c r="H17" s="291" t="str">
        <x:f>IF(AND(ISNUMBER(E17),ISNUMBER(G17)),E17*G17,"")</x:f>
      </x:c>
      <x:c r="I17" s="289" t="str">
        <x:v>3A容纳光猫、普通Fusion、中央ES206XPP、配线和电源；3B改PoE版Fusion但仍保留设备位</x:v>
      </x:c>
      <x:c r="J17" s="289" t="str">
        <x:v>接地插座/PDU；不塞计算主机</x:v>
      </x:c>
      <x:c r="K17" s="289" t="str">
        <x:v>弱电箱附近</x:v>
      </x:c>
      <x:c r="L17" s="289" t="str">
        <x:v>按实物尺寸+电源砖+弯曲半径订制；不密封</x:v>
      </x:c>
      <x:c r="M17" s="289" t="str">
        <x:v>未下单</x:v>
      </x:c>
      <x:c r="N17" s="295" t="str">
        <x:v>到施工表报价</x:v>
      </x:c>
      <x:c r="O17" s="295" t="str">
        <x:v>见施工布线</x:v>
      </x:c>
      <x:c r="P17" s="294" t="str"/>
    </x:row>
    <x:row r="18" ht="40" customHeight="1">
      <x:c r="A18" s="289" t="str">
        <x:v>装修/水电</x:v>
      </x:c>
      <x:c r="B18" s="289" t="str">
        <x:v>必需</x:v>
      </x:c>
      <x:c r="C18" s="289" t="str">
        <x:v>工作室设备箱</x:v>
      </x:c>
      <x:c r="D18" s="289" t="str">
        <x:v>可维护小箱/开放式箱体</x:v>
      </x:c>
      <x:c r="E18" s="290" t="n">
        <x:v>1</x:v>
      </x:c>
      <x:c r="F18" s="289" t="str">
        <x:v>待复尺</x:v>
      </x:c>
      <x:c r="G18" s="291"/>
      <x:c r="H18" s="291" t="str">
        <x:f>IF(AND(ISNUMBER(E18),ISNUMBER(G18)),E18*G18,"")</x:f>
      </x:c>
      <x:c r="I18" s="289" t="str">
        <x:v>ES210XPP及原装电源/配线；Mac、J3455、NAS箱外通风</x:v>
      </x:c>
      <x:c r="J18" s="289" t="str">
        <x:v>本地普通电源；后续UPS位置</x:v>
      </x:c>
      <x:c r="K18" s="289" t="str">
        <x:v>工作室墙面/设备位</x:v>
      </x:c>
      <x:c r="L18" s="289" t="str">
        <x:v>不把NAS/Mac塞进薄型小箱；按温度和噪声再优化</x:v>
      </x:c>
      <x:c r="M18" s="289" t="str">
        <x:v>未下单</x:v>
      </x:c>
      <x:c r="N18" s="295" t="str">
        <x:v>到施工表报价</x:v>
      </x:c>
      <x:c r="O18" s="295" t="str">
        <x:v>见施工布线</x:v>
      </x:c>
      <x:c r="P18" s="294" t="str"/>
    </x:row>
    <x:row r="19" ht="36" customHeight="1">
      <x:c r="A19" s="289" t="str">
        <x:v>装修/水电</x:v>
      </x:c>
      <x:c r="B19" s="289" t="str">
        <x:v>必需</x:v>
      </x:c>
      <x:c r="C19" s="289" t="str">
        <x:v>大厅设备箱</x:v>
      </x:c>
      <x:c r="D19" s="289" t="str">
        <x:v>可维护小箱/开放式箱体</x:v>
      </x:c>
      <x:c r="E19" s="290" t="n">
        <x:v>1</x:v>
      </x:c>
      <x:c r="F19" s="289" t="str">
        <x:v>待复尺</x:v>
      </x:c>
      <x:c r="G19" s="291"/>
      <x:c r="H19" s="291" t="str">
        <x:f>IF(AND(ISNUMBER(E19),ISNUMBER(G19)),E19*G19,"")</x:f>
      </x:c>
      <x:c r="I19" s="289" t="str">
        <x:v>ES206XPP及原装电源/配线；AP/网关在箱外</x:v>
      </x:c>
      <x:c r="J19" s="289" t="str">
        <x:v>本地普通电源；后续UPS位置</x:v>
      </x:c>
      <x:c r="K19" s="289" t="str">
        <x:v>大厅上方墙面/设备位</x:v>
      </x:c>
      <x:c r="L19" s="289" t="str">
        <x:v>AP不放金属箱内；预留吊顶上行线</x:v>
      </x:c>
      <x:c r="M19" s="289" t="str">
        <x:v>未下单</x:v>
      </x:c>
      <x:c r="N19" s="295" t="str">
        <x:v>到施工表报价</x:v>
      </x:c>
      <x:c r="O19" s="295" t="str">
        <x:v>见施工布线</x:v>
      </x:c>
      <x:c r="P19" s="294" t="str"/>
    </x:row>
    <x:row r="20" ht="40" customHeight="1">
      <x:c r="A20" s="289" t="str">
        <x:v>装修/水电</x:v>
      </x:c>
      <x:c r="B20" s="289" t="str">
        <x:v>必需</x:v>
      </x:c>
      <x:c r="C20" s="289" t="str">
        <x:v>面板AP安装位</x:v>
      </x:c>
      <x:c r="D20" s="289" t="str">
        <x:v>墙面底盒/安装板/固定件</x:v>
      </x:c>
      <x:c r="E20" s="290" t="n">
        <x:v>2</x:v>
      </x:c>
      <x:c r="F20" s="289" t="str">
        <x:v>待复尺</x:v>
      </x:c>
      <x:c r="G20" s="291"/>
      <x:c r="H20" s="291" t="str">
        <x:f>IF(AND(ISNUMBER(E20),ISNUMBER(G20)),E20*G20,"")</x:f>
      </x:c>
      <x:c r="I20" s="289" t="str">
        <x:v>主卧、工作室面板各一；次卧保留 Cat6A/RJ45 及将来安装空间，不按第三台 AP 采购安装件</x:v>
      </x:c>
      <x:c r="J20" s="289" t="str">
        <x:v>交换机直接PoE；卧室不另设市电</x:v>
      </x:c>
      <x:c r="K20" s="289" t="str">
        <x:v>面板AP外墙面</x:v>
      </x:c>
      <x:c r="L20" s="289" t="str">
        <x:v>不把面板底盒当设备箱；避开家具、金属和热源</x:v>
      </x:c>
      <x:c r="M20" s="289" t="str">
        <x:v>未下单</x:v>
      </x:c>
      <x:c r="N20" s="295" t="str">
        <x:v>到施工表报价</x:v>
      </x:c>
      <x:c r="O20" s="295" t="str">
        <x:v>见施工布线</x:v>
      </x:c>
      <x:c r="P20" s="294" t="str"/>
    </x:row>
    <x:row r="21" ht="27" customHeight="1">
      <x:c r="A21" s="289" t="str">
        <x:v>装修/水电</x:v>
      </x:c>
      <x:c r="B21" s="289" t="str">
        <x:v>必需</x:v>
      </x:c>
      <x:c r="C21" s="289" t="str">
        <x:v>大厅吊顶安装位</x:v>
      </x:c>
      <x:c r="D21" s="289" t="str">
        <x:v>吊顶/楼板承重固定件、检修口</x:v>
      </x:c>
      <x:c r="E21" s="290" t="n">
        <x:v>1</x:v>
      </x:c>
      <x:c r="F21" s="289" t="str">
        <x:v>待复尺</x:v>
      </x:c>
      <x:c r="G21" s="291"/>
      <x:c r="H21" s="291" t="str">
        <x:f>IF(AND(ISNUMBER(E21),ISNUMBER(G21)),E21*G21,"")</x:f>
      </x:c>
      <x:c r="I21" s="289" t="str">
        <x:v>EAP772装在吊顶可见面，不藏顶内；本地Cat6A支线</x:v>
      </x:c>
      <x:c r="J21" s="289" t="str">
        <x:v>PoE+供电</x:v>
      </x:c>
      <x:c r="K21" s="289" t="str">
        <x:v>大厅顶部</x:v>
      </x:c>
      <x:c r="L21" s="289" t="str">
        <x:v>随箱支架先核；施工方确认承重、走线和维护</x:v>
      </x:c>
      <x:c r="M21" s="289" t="str">
        <x:v>未下单</x:v>
      </x:c>
      <x:c r="N21" s="295" t="str">
        <x:v>到施工表报价</x:v>
      </x:c>
      <x:c r="O21" s="295" t="str">
        <x:v>见施工布线</x:v>
      </x:c>
      <x:c r="P21" s="294" t="str"/>
    </x:row>
    <x:row r="22" ht="40" customHeight="1">
      <x:c r="A22" s="289" t="str">
        <x:v>装修/水电</x:v>
      </x:c>
      <x:c r="B22" s="289" t="str">
        <x:v>必需</x:v>
      </x:c>
      <x:c r="C22" s="289" t="str">
        <x:v>电源与理线</x:v>
      </x:c>
      <x:c r="D22" s="289" t="str">
        <x:v>接地插座、PDU/排插、理线架、标签</x:v>
      </x:c>
      <x:c r="E22" s="290" t="str">
        <x:v>按点位</x:v>
      </x:c>
      <x:c r="F22" s="289" t="str">
        <x:v>待复尺</x:v>
      </x:c>
      <x:c r="G22" s="291"/>
      <x:c r="H22" s="291" t="str">
        <x:f>IF(AND(ISNUMBER(E22),ISNUMBER(G22)),E22*G22,"")</x:f>
      </x:c>
      <x:c r="I22" s="289" t="str">
        <x:v>中央、工作室、大厅均留设备电源与扩展插座；无4个注入器电源点</x:v>
      </x:c>
      <x:c r="J22" s="289" t="str">
        <x:v>适配器按铭牌；UPS后续另选</x:v>
      </x:c>
      <x:c r="K22" s="289" t="str">
        <x:v>中央柜/两房间箱</x:v>
      </x:c>
      <x:c r="L22" s="289" t="str">
        <x:v>美国Type A/B插头不等于电压；按实物补合规交流线</x:v>
      </x:c>
      <x:c r="M22" s="289" t="str">
        <x:v>未下单</x:v>
      </x:c>
      <x:c r="N22" s="295" t="str">
        <x:v>到施工表报价</x:v>
      </x:c>
      <x:c r="O22" s="295" t="str">
        <x:v>见施工布线</x:v>
      </x:c>
      <x:c r="P22" s="294" t="str"/>
    </x:row>
    <x:row r="23" ht="42" customHeight="1">
      <x:c r="A23" s="289" t="str">
        <x:v>入住前后可分期</x:v>
      </x:c>
      <x:c r="B23" s="289" t="str">
        <x:v>升级目标</x:v>
      </x:c>
      <x:c r="C23" s="289" t="str">
        <x:v>J3455 2.5G网卡</x:v>
      </x:c>
      <x:c r="D23" s="289" t="str">
        <x:v>首选候选TP-Link TX201（PCIe 2.1 x1，向下兼容2.0 x1）</x:v>
      </x:c>
      <x:c r="E23" s="290" t="n">
        <x:v>1</x:v>
      </x:c>
      <x:c r="F23" s="289" t="str">
        <x:v>待核验</x:v>
      </x:c>
      <x:c r="G23" s="291"/>
      <x:c r="H23" s="291" t="str">
        <x:f>IF(AND(ISNUMBER(E23),ISNUMBER(G23)),E23*G23,"")</x:f>
      </x:c>
      <x:c r="I23" s="289" t="str">
        <x:v>官网明确Linux支持、1×2.5GbE RJ45、含全高/半高挡板；2.0 x1带宽理论足够</x:v>
      </x:c>
      <x:c r="J23" s="289" t="str">
        <x:v>无PoE；散热/驱动另核</x:v>
      </x:c>
      <x:c r="K23" s="289" t="str">
        <x:v>工作室交换机→J3455</x:v>
      </x:c>
      <x:c r="L23" s="289" t="str">
        <x:v>主板空间、硬件版本/芯片和Proxmox内核待实机核；现有千兆仍能先入住使用</x:v>
      </x:c>
      <x:c r="M23" s="289" t="str">
        <x:v>未下单</x:v>
      </x:c>
      <x:c r="N23" s="292"/>
      <x:c r="O23" s="293" t="str">
        <x:f>IF(AND(ISNUMBER(E23),ISNUMBER(N23)),E23*N23,"待数量/报价")</x:f>
        <x:v>待数量/报价</x:v>
      </x:c>
      <x:c r="P23" s="294" t="str">
        <x:v>https://www.tp-link.com/us/home-networking/pci-adapter/tx201/#specifications</x:v>
      </x:c>
    </x:row>
    <x:row r="24" ht="42" customHeight="1">
      <x:c r="A24" s="289" t="str">
        <x:v>入住后</x:v>
      </x:c>
      <x:c r="B24" s="289" t="str">
        <x:v>后置</x:v>
      </x:c>
      <x:c r="C24" s="289" t="str">
        <x:v>未来高速NAS</x:v>
      </x:c>
      <x:c r="D24" s="289" t="str">
        <x:v>整机需自带10G SFP+光口</x:v>
      </x:c>
      <x:c r="E24" s="290" t="n">
        <x:v>1</x:v>
      </x:c>
      <x:c r="F24" s="289" t="str">
        <x:v>待选</x:v>
      </x:c>
      <x:c r="G24" s="291"/>
      <x:c r="H24" s="291" t="str">
        <x:f>IF(AND(ISNUMBER(E24),ISNUMBER(G24)),E24*G24,"")</x:f>
      </x:c>
      <x:c r="I24" s="289" t="str">
        <x:v>主要给Mac视频剪辑，其次PC/Mac Mini游戏库；靠近工作室交换机</x:v>
      </x:c>
      <x:c r="J24" s="289" t="str">
        <x:v>按NAS实物功耗/UPS后续核</x:v>
      </x:c>
      <x:c r="K24" s="289" t="str">
        <x:v>ES210 10G SFP+口；DAC或光模块+光纤待定</x:v>
      </x:c>
      <x:c r="L24" s="289" t="str">
        <x:v>不买NAS 10G网卡；不把DAC/光纤埋墙</x:v>
      </x:c>
      <x:c r="M24" s="289" t="str">
        <x:v>后置</x:v>
      </x:c>
      <x:c r="N24" s="292"/>
      <x:c r="O24" s="293" t="str">
        <x:f>IF(AND(ISNUMBER(E24),ISNUMBER(N24)),E24*N24,"待数量/报价")</x:f>
        <x:v>待数量/报价</x:v>
      </x:c>
      <x:c r="P24" s="294" t="str"/>
    </x:row>
    <x:row r="25" ht="42" customHeight="1">
      <x:c r="A25" s="289" t="str">
        <x:v>入住后</x:v>
      </x:c>
      <x:c r="B25" s="289" t="str">
        <x:v>后置</x:v>
      </x:c>
      <x:c r="C25" s="289" t="str">
        <x:v>UPS后备供电</x:v>
      </x:c>
      <x:c r="D25" s="289" t="str">
        <x:v>按中央/工作室/大厅实测负载选择本地合规型号</x:v>
      </x:c>
      <x:c r="E25" s="290" t="str">
        <x:v>按负载</x:v>
      </x:c>
      <x:c r="F25" s="289" t="str">
        <x:v>入住后</x:v>
      </x:c>
      <x:c r="G25" s="291"/>
      <x:c r="H25" s="291" t="str">
        <x:f>IF(AND(ISNUMBER(E25),ISNUMBER(G25)),E25*G25,"")</x:f>
      </x:c>
      <x:c r="I25" s="289" t="str">
        <x:v>目标至少1小时；覆盖网络、关键服务和必要排风的范围需实测决定</x:v>
      </x:c>
      <x:c r="J25" s="289" t="str">
        <x:v>按W/VA/续航曲线，不套美国120V型号</x:v>
      </x:c>
      <x:c r="K25" s="289" t="str">
        <x:v>中央/工作室/大厅</x:v>
      </x:c>
      <x:c r="L25" s="289" t="str">
        <x:v>搬入后再增添；本表只预留插座、承重、旁路和关机策略</x:v>
      </x:c>
      <x:c r="M25" s="289" t="str">
        <x:v>后置</x:v>
      </x:c>
      <x:c r="N25" s="292"/>
      <x:c r="O25" s="293" t="str">
        <x:f>IF(AND(ISNUMBER(E25),ISNUMBER(N25)),E25*N25,"待数量/报价")</x:f>
        <x:v>待数量/报价</x:v>
      </x:c>
      <x:c r="P25" s="294" t="str"/>
    </x:row>
    <x:row r="26" ht="42" customHeight="1">
      <x:c r="A26" s="289" t="str">
        <x:v>入住后</x:v>
      </x:c>
      <x:c r="B26" s="289" t="str">
        <x:v>可选</x:v>
      </x:c>
      <x:c r="C26" s="289" t="str">
        <x:v>壁挂中控显示屏</x:v>
      </x:c>
      <x:c r="D26" s="289" t="str">
        <x:v>已有杂牌安卓若能跑HA面板则复用；否则二手iPad mini/便宜iPad</x:v>
      </x:c>
      <x:c r="E26" s="290" t="str">
        <x:v>未定</x:v>
      </x:c>
      <x:c r="F26" s="289" t="str">
        <x:v>待确认</x:v>
      </x:c>
      <x:c r="G26" s="291"/>
      <x:c r="H26" s="291" t="str">
        <x:f>IF(AND(ISNUMBER(E26),ISNUMBER(G26)),E26*G26,"")</x:f>
      </x:c>
      <x:c r="I26" s="289" t="str">
        <x:v>显示和交互终端，不承担路由、PoE或Thread边界路由角色</x:v>
      </x:c>
      <x:c r="J26" s="289" t="str">
        <x:v>长期充电/散热/可拆维护待定</x:v>
      </x:c>
      <x:c r="K26" s="289" t="str">
        <x:v>Wi-Fi接入，电源另留</x:v>
      </x:c>
      <x:c r="L26" s="289" t="str">
        <x:v>不采购HomeView壁挂版；型号、点位、支架和供电未定</x:v>
      </x:c>
      <x:c r="M26" s="289" t="str">
        <x:v>后置</x:v>
      </x:c>
      <x:c r="N26" s="292"/>
      <x:c r="O26" s="293" t="str">
        <x:f>IF(AND(ISNUMBER(E26),ISNUMBER(N26)),E26*N26,"待数量/报价")</x:f>
        <x:v>待数量/报价</x:v>
      </x:c>
      <x:c r="P26" s="294" t="str"/>
    </x:row>
    <x:row r="27" ht="54" customHeight="1">
      <x:c r="A27" s="343" t="str">
        <x:v>不采购</x:v>
      </x:c>
      <x:c r="B27" s="343" t="str">
        <x:v>撤销</x:v>
      </x:c>
      <x:c r="C27" s="343" t="str">
        <x:v>独立PoE供电器</x:v>
      </x:c>
      <x:c r="D27" s="343" t="str">
        <x:v>POE260S</x:v>
      </x:c>
      <x:c r="E27" s="343" t="n">
        <x:v>0</x:v>
      </x:c>
      <x:c r="F27" s="343" t="str">
        <x:v>已撤销</x:v>
      </x:c>
      <x:c r="G27" s="345"/>
      <x:c r="H27" s="345" t="n">
        <x:v>0</x:v>
      </x:c>
      <x:c r="I27" s="343" t="str">
        <x:v>交换机直接PoE后不需要</x:v>
      </x:c>
      <x:c r="J27" s="343" t="str">
        <x:v>不适用</x:v>
      </x:c>
      <x:c r="K27" s="343" t="str">
        <x:v>不适用</x:v>
      </x:c>
      <x:c r="L27" s="343" t="str">
        <x:v>保留记录，避免重复购买</x:v>
      </x:c>
      <x:c r="M27" s="362" t="str">
        <x:v>不采购</x:v>
      </x:c>
      <x:c r="N27" s="372"/>
      <x:c r="O27" s="371" t="n">
        <x:v>0</x:v>
      </x:c>
      <x:c r="P27" s="343" t="str">
        <x:v>https://www.amazon.com/dp/B0C54CPVXV</x:v>
      </x:c>
    </x:row>
    <x:row r="28" ht="54" customHeight="1">
      <x:c r="A28" s="343" t="str">
        <x:v>不采购</x:v>
      </x:c>
      <x:c r="B28" s="343" t="str">
        <x:v>撤销</x:v>
      </x:c>
      <x:c r="C28" s="343" t="str">
        <x:v>SFP+铜模块</x:v>
      </x:c>
      <x:c r="D28" s="343" t="str">
        <x:v>SM5310-T</x:v>
      </x:c>
      <x:c r="E28" s="343" t="n">
        <x:v>0</x:v>
      </x:c>
      <x:c r="F28" s="343" t="str">
        <x:v>已撤销</x:v>
      </x:c>
      <x:c r="G28" s="345"/>
      <x:c r="H28" s="345" t="n">
        <x:v>0</x:v>
      </x:c>
      <x:c r="I28" s="343" t="str">
        <x:v>ES210XPP已有原生10G RJ45</x:v>
      </x:c>
      <x:c r="J28" s="343" t="str">
        <x:v>不适用</x:v>
      </x:c>
      <x:c r="K28" s="343" t="str">
        <x:v>不适用</x:v>
      </x:c>
      <x:c r="L28" s="343" t="str">
        <x:v>Mac直接使用交换机原生10G铜口</x:v>
      </x:c>
      <x:c r="M28" s="362" t="str">
        <x:v>不采购</x:v>
      </x:c>
      <x:c r="N28" s="372"/>
      <x:c r="O28" s="371" t="n">
        <x:v>0</x:v>
      </x:c>
      <x:c r="P28" s="343" t="str">
        <x:v>https://www.amazon.com/dp/B0B12N5SJN</x:v>
      </x:c>
    </x:row>
    <x:row r="29" ht="42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 ht="40" customHeight="1">
      <x:c r="F30" t="str">
        <x:v>3A三频网络参考</x:v>
      </x:c>
      <x:c r="H30" s="45" t="n">
        <x:f>IF(COUNT(H7:H12)=6,SUM(H7:H12),"待报价")</x:f>
        <x:v>1229.93</x:v>
      </x:c>
      <x:c r="I30" t="str">
        <x:v>含普通 Fusion、中央/工作室/大厅 PoE 交换机及三台三频 Omada AP；不含已有次卧路由器、税运、材料、人工及后置设备。</x:v>
      </x:c>
    </x:row>
    <x:row r="31" ht="40" customHeight="1">
      <x:c r="F31"/>
      <x:c r="H31" s="45"/>
      <x:c r="I31"/>
    </x:row>
    <x:row r="32" ht="34" customHeight="1">
      <x:c r="A32" s="441" t="str">
        <x:v>3B互斥替换：普通Fusion与中央交换机不买，改买Fusion 2.5G PoE；其余设备不变</x:v>
      </x:c>
      <x:c r="B32" s="441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</x:row>
    <x:row r="33" ht="34" customHeight="1">
      <x:c r="A33" s="437" t="str">
        <x:v>角色</x:v>
      </x:c>
      <x:c r="B33" s="437" t="str">
        <x:v>型号</x:v>
      </x:c>
      <x:c r="C33" s="437" t="str">
        <x:v>数量</x:v>
      </x:c>
      <x:c r="D33" s="437" t="str">
        <x:v>Amazon单价USD</x:v>
      </x:c>
      <x:c r="E33" s="437" t="str">
        <x:v>小计USD</x:v>
      </x:c>
      <x:c r="F33" s="437" t="str">
        <x:v>状态</x:v>
      </x:c>
      <x:c r="G33" s="437" t="str">
        <x:v>官方单价USD</x:v>
      </x:c>
      <x:c r="H33" s="437" t="str">
        <x:v>入口</x:v>
      </x:c>
      <x:c r="M33"/>
      <x:c r="O33" s="373"/>
    </x:row>
    <x:row r="34" ht="48" customHeight="1">
      <x:c r="A34" t="str">
        <x:v>替代主路由/中央</x:v>
      </x:c>
      <x:c r="B34" t="str">
        <x:v>Fusion 2.5G PoE</x:v>
      </x:c>
      <x:c r="C34" t="n">
        <x:v>1</x:v>
      </x:c>
      <x:c r="D34" s="45" t="n">
        <x:f>'差价对比'!C19</x:f>
        <x:v>349.99</x:v>
      </x:c>
      <x:c r="E34" s="45" t="n">
        <x:f>C34*D34</x:f>
        <x:v>349.99</x:v>
      </x:c>
      <x:c r="F34" t="str">
        <x:v>备选，非已购</x:v>
      </x:c>
      <x:c r="G34" s="45" t="n">
        <x:f>'差价对比'!B19</x:f>
        <x:v>349.99</x:v>
      </x:c>
      <x:c r="H34" s="45" t="str">
        <x:v>https://www.amazon.com/dp/B0HKQ8ZPML</x:v>
      </x:c>
      <x:c r="I34" t="str">
        <x:v>9×2.5G：1 WAN +8 LAN/WAN；8个PoE+口、110W预算。四主干用4口留4口。官方预售，Amazon显示少量库存；有风扇。不是普通Fusion。</x:v>
      </x:c>
    </x:row>
    <x:row r="35" ht="48" customHeight="1">
      <x:c r="G35" s="45"/>
      <x:c r="H35" s="45"/>
    </x:row>
    <x:row r="36">
      <x:c r="G36" s="45"/>
      <x:c r="H36" s="45"/>
    </x:row>
    <x:row r="37">
      <x:c r="F37" t="str">
        <x:v>3B核心网络 Amazon</x:v>
      </x:c>
      <x:c r="G37" s="45"/>
      <x:c r="H37" s="45" t="n">
        <x:f>'差价对比'!C10</x:f>
        <x:v>1259.94</x:v>
      </x:c>
      <x:c r="I37" t="str">
        <x:v>3B仅作互斥比较，未选用。按当前Amazon单价比3A三频贵$30.01；不叠加采购。</x:v>
      </x:c>
    </x:row>
    <x:row r="39">
      <x:c r="M39" t="str">
        <x:v>已报价部分CNY（不完整）</x:v>
      </x:c>
      <x:c r="O39" t="n">
        <x:f>IF(COUNT(O7:O28)=0,"待数量/报价",SUM(O7:O28))</x:f>
        <x:v>0</x:v>
      </x:c>
    </x:row>
  </x:sheetData>
  <x:mergeCells>
    <x:mergeCell ref="A1:P1"/>
    <x:mergeCell ref="A2:P3"/>
    <x:mergeCell ref="A5:P5"/>
    <x:mergeCell ref="F30:G30"/>
    <x:mergeCell ref="I30:P30"/>
    <x:mergeCell ref="A32:P32"/>
    <x:mergeCell ref="I34:P35"/>
    <x:mergeCell ref="F37:G37"/>
    <x:mergeCell ref="I37:P37"/>
    <x:mergeCell ref="M39:N39"/>
  </x:mergeCells>
  <x:conditionalFormatting sqref="F7:F26">
    <x:cfRule type="expression" dxfId="0" priority="1">
      <x:formula>OR($F7="已确定",$F7="已确认",$F7="已验收",$F7="已有/复用")</x:formula>
    </x:cfRule>
    <x:cfRule type="expression" dxfId="1" priority="2">
      <x:formula>OR($F7="待确认",$F7="待复尺",$F7="待核验",$F7="暂选",$F7="暂定")</x:formula>
    </x:cfRule>
    <x:cfRule type="expression" dxfId="2" priority="3">
      <x:formula>OR($F7="入住后",$F7="后置",$F7="可选")</x:formula>
    </x:cfRule>
    <x:cfRule type="expression" dxfId="3" priority="4">
      <x:formula>OR($F7="不采购",$F7="不需要")</x:formula>
    </x:cfRule>
    <x:cfRule type="expression" dxfId="4" priority="5">
      <x:formula>OR($F7="风险",$F7="有遗留问题")</x:formula>
    </x:cfRule>
  </x:conditionalFormatting>
  <x:dataValidations count="2">
    <x:dataValidation type="list" sqref="M7:M26">
      <x:formula1>"未下单,待复尺,待确认,已下单,已到货,已安装,后置,复用"</x:formula1>
    </x:dataValidation>
    <x:dataValidation type="list" sqref="M27:M28">
      <x:formula1>"未下单,已下单,已到货,已安装,后置"</x:formula1>
    </x:dataValidation>
  </x:dataValidations>
  <x:hyperlinks>
    <x:hyperlink xmlns:r="http://schemas.openxmlformats.org/officeDocument/2006/relationships" ref="P7" r:id="Re14789e4103b4545"/>
    <x:hyperlink xmlns:r="http://schemas.openxmlformats.org/officeDocument/2006/relationships" ref="P8" r:id="R5ef49ef5dc8544b4"/>
    <x:hyperlink xmlns:r="http://schemas.openxmlformats.org/officeDocument/2006/relationships" ref="P9" r:id="Ra69412d392804def"/>
    <x:hyperlink xmlns:r="http://schemas.openxmlformats.org/officeDocument/2006/relationships" ref="P10" r:id="R20314eb753de40d1"/>
    <x:hyperlink xmlns:r="http://schemas.openxmlformats.org/officeDocument/2006/relationships" ref="P11" r:id="R545354bace2f4465"/>
    <x:hyperlink xmlns:r="http://schemas.openxmlformats.org/officeDocument/2006/relationships" ref="P12" r:id="R89fa412f9f5d4dae"/>
    <x:hyperlink xmlns:r="http://schemas.openxmlformats.org/officeDocument/2006/relationships" ref="P23" r:id="R978fa9b468174d39"/>
    <x:hyperlink xmlns:r="http://schemas.openxmlformats.org/officeDocument/2006/relationships" ref="P27" r:id="Ra2eae6ad42f2419b"/>
    <x:hyperlink xmlns:r="http://schemas.openxmlformats.org/officeDocument/2006/relationships" ref="P28" r:id="Rdd429ff31f994131"/>
    <x:hyperlink xmlns:r="http://schemas.openxmlformats.org/officeDocument/2006/relationships" ref="H34" r:id="R6df3414430624e38"/>
  </x:hyperlinks>
  <x:pageMargins left="0.7" right="0.7" top="0.75" bottom="0.75" header="0.3" footer="0.3"/>
  <x:tableParts count="1">
    <x:tablePart xmlns:r="http://schemas.openxmlformats.org/officeDocument/2006/relationships" r:id="R0f505a662d26498a"/>
  </x:tableParts>
</x:worksheet>
</file>

<file path=xl/worksheets/sheet3.xml><?xml version="1.0" encoding="utf-8"?>
<x:worksheet xmlns:x="http://schemas.openxmlformats.org/spreadsheetml/2006/main">
  <x:sheetPr>
    <x:tabColor rgb="FF688FB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3" hidden="0" customWidth="1"/>
    <x:col min="4" max="4" width="14" hidden="0" customWidth="1"/>
    <x:col min="5" max="5" width="36" hidden="0" customWidth="1"/>
    <x:col min="6" max="6" width="42" hidden="0" customWidth="1"/>
    <x:col min="7" max="7" width="44" hidden="0" customWidth="1"/>
    <x:col min="8" max="8" width="24" hidden="0" customWidth="1"/>
    <x:col min="9" max="9" width="15" hidden="0" customWidth="1"/>
    <x:col min="10" max="10" width="44" hidden="0" customWidth="1"/>
    <x:col min="11" max="11" width="12" hidden="0" customWidth="1"/>
    <x:col min="12" max="12" width="14" hidden="0" customWidth="1"/>
    <x:col min="13" max="13" width="14" hidden="0" customWidth="1"/>
    <x:col min="14" max="14" width="20" hidden="0" customWidth="1"/>
    <x:col min="15" max="15" width="22" hidden="0" customWidth="1"/>
    <x:col min="16" max="16" width="14" hidden="0" customWidth="1"/>
  </x:cols>
  <x:sheetData>
    <x:row r="1" ht="32" customHeight="1">
      <x:c r="A1" s="338" t="str">
        <x:v>装修布线与空间设计要求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  <x:c r="L1" s="254"/>
      <x:c r="M1" s="254"/>
      <x:c r="N1" s="254"/>
      <x:c r="O1" s="254"/>
      <x:c r="P1" s="254"/>
    </x:row>
    <x:row r="2" ht="22" customHeight="1">
      <x:c r="A2" s="255" t="str">
        <x:v>给装修公司/弱电施工方：数量是设计基线，线长、箱体尺寸、底盒和端接数量必须现场复尺。材料/施工报价只填本表黄色格，采购表中的同名工程行只登记范围，不重复计价。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  <x:c r="M2" s="255"/>
      <x:c r="N2" s="255"/>
      <x:c r="O2" s="255"/>
      <x:c r="P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  <x:c r="N3" s="262"/>
      <x:c r="O3" s="262"/>
      <x:c r="P3" s="262"/>
    </x:row>
    <x:row r="4" ht="28" customHeight="1">
      <x:c r="A4" s="265" t="str">
        <x:v>布线与安装清单</x:v>
      </x:c>
      <x:c r="B4" s="266"/>
      <x:c r="C4" s="266"/>
      <x:c r="D4" s="266"/>
      <x:c r="E4" s="266"/>
      <x:c r="F4" s="266"/>
      <x:c r="G4" s="266"/>
      <x:c r="H4" s="266"/>
      <x:c r="I4" s="266"/>
      <x:c r="J4" s="266"/>
      <x:c r="K4" s="267"/>
      <x:c r="L4" s="262"/>
      <x:c r="M4" s="262"/>
      <x:c r="N4" s="262"/>
      <x:c r="O4" s="262"/>
      <x:c r="P4" s="262"/>
    </x:row>
    <x:row r="5" ht="27" customHeight="1">
      <x:c r="A5" s="19" t="str">
        <x:v>编号</x:v>
      </x:c>
      <x:c r="B5" s="20" t="str">
        <x:v>区域</x:v>
      </x:c>
      <x:c r="C5" s="20" t="str">
        <x:v>材料/设计项</x:v>
      </x:c>
      <x:c r="D5" s="20" t="str">
        <x:v>基线数量</x:v>
      </x:c>
      <x:c r="E5" s="20" t="str">
        <x:v>复尺/采购口径</x:v>
      </x:c>
      <x:c r="F5" s="20" t="str">
        <x:v>功能要求</x:v>
      </x:c>
      <x:c r="G5" s="20" t="str">
        <x:v>施工要求</x:v>
      </x:c>
      <x:c r="H5" s="20" t="str">
        <x:v>电源/PoE</x:v>
      </x:c>
      <x:c r="I5" s="20" t="str">
        <x:v>阶段</x:v>
      </x:c>
      <x:c r="J5" s="20" t="str">
        <x:v>备注</x:v>
      </x:c>
      <x:c r="K5" s="20" t="str">
        <x:v>计价单位</x:v>
      </x:c>
      <x:c r="L5" s="20" t="str">
        <x:v>实测/订购量</x:v>
      </x:c>
      <x:c r="M5" s="20" t="str">
        <x:v>单价CNY</x:v>
      </x:c>
      <x:c r="N5" s="20" t="str">
        <x:v>金额CNY</x:v>
      </x:c>
      <x:c r="O5" s="20" t="str">
        <x:v>确认/供应商</x:v>
      </x:c>
      <x:c r="P5" s="21" t="str">
        <x:v>状态</x:v>
      </x:c>
    </x:row>
    <x:row r="6" ht="40" customHeight="1">
      <x:c r="A6" s="283" t="str">
        <x:v>W-01</x:v>
      </x:c>
      <x:c r="B6" s="283" t="str">
        <x:v>中央</x:v>
      </x:c>
      <x:c r="C6" s="283" t="str">
        <x:v>核心设备位</x:v>
      </x:c>
      <x:c r="D6" s="283" t="n">
        <x:v>1</x:v>
      </x:c>
      <x:c r="E6" s="283" t="str">
        <x:v>3A按ES206XPP实物复尺；3B按Fusion PoE 226×135×31.5mm及适配器复尺</x:v>
      </x:c>
      <x:c r="F6" s="283" t="str">
        <x:v>3A光猫/普通Fusion/ES206XPP；3B光猫/Fusion PoE。均保留中央设备位、配线、电源和扩展</x:v>
      </x:c>
      <x:c r="G6" s="283" t="str">
        <x:v>通风、可开门、强弱电分隔、接地、维护空间</x:v>
      </x:c>
      <x:c r="H6" s="283" t="str">
        <x:v>3A至少5个现用电源接入点；3B至少4个；另留扩展</x:v>
      </x:c>
      <x:c r="I6" s="283" t="str">
        <x:v>施工前设计</x:v>
      </x:c>
      <x:c r="J6" s="283" t="str">
        <x:v>3B有风扇，须核噪声/散热；取消中央交换机不等于取消中央设备位</x:v>
      </x:c>
      <x:c r="K6" s="283" t="str">
        <x:v>处</x:v>
      </x:c>
      <x:c r="L6" s="309"/>
      <x:c r="M6" s="310"/>
      <x:c r="N6" s="311" t="str">
        <x:f>IF(AND(ISNUMBER(L6),ISNUMBER(M6)),L6*M6,"待复尺/报价")</x:f>
        <x:v>待复尺/报价</x:v>
      </x:c>
      <x:c r="O6" s="283"/>
      <x:c r="P6" s="283" t="str">
        <x:v>未确认</x:v>
      </x:c>
    </x:row>
    <x:row r="7" ht="40" customHeight="1">
      <x:c r="A7" s="289" t="str">
        <x:v>W-02</x:v>
      </x:c>
      <x:c r="B7" s="289" t="str">
        <x:v>工作室</x:v>
      </x:c>
      <x:c r="C7" s="289" t="str">
        <x:v>工作室设备箱</x:v>
      </x:c>
      <x:c r="D7" s="289" t="n">
        <x:v>1</x:v>
      </x:c>
      <x:c r="E7" s="289" t="str">
        <x:v>按ES210XPP、原装电源、配线和Cat6A弯曲半径复尺</x:v>
      </x:c>
      <x:c r="F7" s="289" t="str">
        <x:v>单台ES210XPP；Mac/J3455/NAS在箱外通风位</x:v>
      </x:c>
      <x:c r="G7" s="289" t="str">
        <x:v>可维护、通风、防尘；本地电源；不做密封隔音</x:v>
      </x:c>
      <x:c r="H7" s="289" t="str">
        <x:v>一个交换机电源接入点；另留终端/UPS余量</x:v>
      </x:c>
      <x:c r="I7" s="289" t="str">
        <x:v>施工前设计</x:v>
      </x:c>
      <x:c r="J7" s="289" t="str">
        <x:v>工作室不增加第二台交换机</x:v>
      </x:c>
      <x:c r="K7" s="289" t="str">
        <x:v>个</x:v>
      </x:c>
      <x:c r="L7" s="312"/>
      <x:c r="M7" s="313"/>
      <x:c r="N7" s="314" t="str">
        <x:f>IF(AND(ISNUMBER(L7),ISNUMBER(M7)),L7*M7,"待复尺/报价")</x:f>
        <x:v>待复尺/报价</x:v>
      </x:c>
      <x:c r="O7" s="289"/>
      <x:c r="P7" s="289" t="str">
        <x:v>未确认</x:v>
      </x:c>
    </x:row>
    <x:row r="8" ht="40" customHeight="1">
      <x:c r="A8" s="289" t="str">
        <x:v>W-03</x:v>
      </x:c>
      <x:c r="B8" s="289" t="str">
        <x:v>大厅</x:v>
      </x:c>
      <x:c r="C8" s="289" t="str">
        <x:v>大厅设备箱</x:v>
      </x:c>
      <x:c r="D8" s="289" t="n">
        <x:v>1</x:v>
      </x:c>
      <x:c r="E8" s="289" t="str">
        <x:v>按ES206XPP、原装电源和配线复尺</x:v>
      </x:c>
      <x:c r="F8" s="289" t="str">
        <x:v>单台ES206XPP；AP与网关在箱外</x:v>
      </x:c>
      <x:c r="G8" s="289" t="str">
        <x:v>可维护、通风；预留吊顶上行线和墙面网关线</x:v>
      </x:c>
      <x:c r="H8" s="289" t="str">
        <x:v>一个交换机电源接入点；网关另留普通插座</x:v>
      </x:c>
      <x:c r="I8" s="289" t="str">
        <x:v>施工前设计</x:v>
      </x:c>
      <x:c r="J8" s="289" t="str">
        <x:v>不把AP/网关放金属箱内</x:v>
      </x:c>
      <x:c r="K8" s="289" t="str">
        <x:v>个</x:v>
      </x:c>
      <x:c r="L8" s="312"/>
      <x:c r="M8" s="313"/>
      <x:c r="N8" s="314" t="str">
        <x:f>IF(AND(ISNUMBER(L8),ISNUMBER(M8)),L8*M8,"待复尺/报价")</x:f>
        <x:v>待复尺/报价</x:v>
      </x:c>
      <x:c r="O8" s="289"/>
      <x:c r="P8" s="289" t="str">
        <x:v>未确认</x:v>
      </x:c>
    </x:row>
    <x:row r="9" ht="42" customHeight="1">
      <x:c r="A9" s="289" t="str">
        <x:v>W-04</x:v>
      </x:c>
      <x:c r="B9" s="289" t="str">
        <x:v>主卧；次卧预留</x:v>
      </x:c>
      <x:c r="C9" s="289" t="str">
        <x:v>面板AP底盒/安装位</x:v>
      </x:c>
      <x:c r="D9" s="289" t="n">
        <x:v>1</x:v>
      </x:c>
      <x:c r="E9" s="289" t="str">
        <x:v>主卧 EAP775-Wall 按实物核底盒/安装板尺寸；次卧仅 RJ45 墙口和未来安装空间</x:v>
      </x:c>
      <x:c r="F9" s="289" t="str">
        <x:v>主卧中央 Cat6A/PoE 直达 AP；次卧 Cat6A 端接 RJ45。电竞房面板 AP 另计 W-05</x:v>
      </x:c>
      <x:c r="G9" s="289" t="str">
        <x:v>墙面安装，高度避开家具、金属和热源；可拆维护</x:v>
      </x:c>
      <x:c r="H9" s="289" t="str">
        <x:v>主卧一个PoE AP；次卧旧路由器若启用须另有市电插座</x:v>
      </x:c>
      <x:c r="I9" s="289" t="str">
        <x:v>施工前设计</x:v>
      </x:c>
      <x:c r="J9" s="289" t="str">
        <x:v>面板底盒不是设备箱</x:v>
      </x:c>
      <x:c r="K9" s="289" t="str">
        <x:v>处</x:v>
      </x:c>
      <x:c r="L9" s="312"/>
      <x:c r="M9" s="313"/>
      <x:c r="N9" s="314" t="str">
        <x:f>IF(AND(ISNUMBER(L9),ISNUMBER(M9)),L9*M9,"待复尺/报价")</x:f>
        <x:v>待复尺/报价</x:v>
      </x:c>
      <x:c r="O9" s="289"/>
      <x:c r="P9" s="289" t="str">
        <x:v>未确认</x:v>
      </x:c>
    </x:row>
    <x:row r="10" ht="36" customHeight="1">
      <x:c r="A10" s="289" t="str">
        <x:v>W-05</x:v>
      </x:c>
      <x:c r="B10" s="289" t="str">
        <x:v>工作室</x:v>
      </x:c>
      <x:c r="C10" s="289" t="str">
        <x:v>面板AP底盒/安装位</x:v>
      </x:c>
      <x:c r="D10" s="289" t="n">
        <x:v>1</x:v>
      </x:c>
      <x:c r="E10" s="289" t="str">
        <x:v>电竞房 EAP775-Wall 底盒/安装板按实物复尺；箱外墙面</x:v>
      </x:c>
      <x:c r="F10" s="289" t="str">
        <x:v>ES210XPP匹配PoE口直达EAP775-Wall</x:v>
      </x:c>
      <x:c r="G10" s="289" t="str">
        <x:v>避开显示器/金属柜；保留AP下联口可达性</x:v>
      </x:c>
      <x:c r="H10" s="289" t="str">
        <x:v>ES210XPP匹配PoE口直供</x:v>
      </x:c>
      <x:c r="I10" s="289" t="str">
        <x:v>施工前设计</x:v>
      </x:c>
      <x:c r="J10" s="289" t="str">
        <x:v>不启用AP PoE Out</x:v>
      </x:c>
      <x:c r="K10" s="289" t="str">
        <x:v>处</x:v>
      </x:c>
      <x:c r="L10" s="312"/>
      <x:c r="M10" s="313"/>
      <x:c r="N10" s="314" t="str">
        <x:f>IF(AND(ISNUMBER(L10),ISNUMBER(M10)),L10*M10,"待复尺/报价")</x:f>
        <x:v>待复尺/报价</x:v>
      </x:c>
      <x:c r="O10" s="289"/>
      <x:c r="P10" s="289" t="str">
        <x:v>未确认</x:v>
      </x:c>
    </x:row>
    <x:row r="11" ht="36" customHeight="1">
      <x:c r="A11" s="289" t="str">
        <x:v>W-06</x:v>
      </x:c>
      <x:c r="B11" s="289" t="str">
        <x:v>大厅</x:v>
      </x:c>
      <x:c r="C11" s="289" t="str">
        <x:v>吊顶AP安装位</x:v>
      </x:c>
      <x:c r="D11" s="289" t="n">
        <x:v>1</x:v>
      </x:c>
      <x:c r="E11" s="289" t="str">
        <x:v>1个，吊顶可见面</x:v>
      </x:c>
      <x:c r="F11" s="289" t="str">
        <x:v>ES206XPP匹配PoE口直达EAP772</x:v>
      </x:c>
      <x:c r="G11" s="289" t="str">
        <x:v>核承重、支架、检修口、走线和散热；不藏顶内</x:v>
      </x:c>
      <x:c r="H11" s="289" t="str">
        <x:v>ES206XPP匹配PoE口直供</x:v>
      </x:c>
      <x:c r="I11" s="289" t="str">
        <x:v>施工前设计</x:v>
      </x:c>
      <x:c r="J11" s="289" t="str">
        <x:v>随箱固定件先核</x:v>
      </x:c>
      <x:c r="K11" s="289" t="str">
        <x:v>处</x:v>
      </x:c>
      <x:c r="L11" s="312"/>
      <x:c r="M11" s="313"/>
      <x:c r="N11" s="314" t="str">
        <x:f>IF(AND(ISNUMBER(L11),ISNUMBER(M11)),L11*M11,"待复尺/报价")</x:f>
        <x:v>待复尺/报价</x:v>
      </x:c>
      <x:c r="O11" s="289"/>
      <x:c r="P11" s="289" t="str">
        <x:v>未确认</x:v>
      </x:c>
    </x:row>
    <x:row r="12" ht="42" customHeight="1">
      <x:c r="A12" s="289" t="str">
        <x:v>W-07</x:v>
      </x:c>
      <x:c r="B12" s="289" t="str">
        <x:v>中央→各区域</x:v>
      </x:c>
      <x:c r="C12" s="289" t="str">
        <x:v>Cat6A主干永久链路</x:v>
      </x:c>
      <x:c r="D12" s="289" t="n">
        <x:v>4</x:v>
      </x:c>
      <x:c r="E12" s="289" t="str">
        <x:v>四条；长度现场复尺</x:v>
      </x:c>
      <x:c r="F12" s="289" t="str">
        <x:v>主卧直达 Wall AP；次卧端接 RJ45；工作室、大厅到本地交换机，目标 2.5GbE</x:v>
      </x:c>
      <x:c r="G12" s="289" t="str">
        <x:v>星型回到中央；与强电分隔；保留弯曲半径和牵引余量</x:v>
      </x:c>
      <x:c r="H12" s="289" t="str">
        <x:v>仅主卧主干当前承载 PoE；次卧墙口默认关闭 PoE</x:v>
      </x:c>
      <x:c r="I12" s="289" t="str">
        <x:v>水电阶段</x:v>
      </x:c>
      <x:c r="J12" s="289" t="str">
        <x:v>实芯纯铜，禁CCA；不预埋每房光纤</x:v>
      </x:c>
      <x:c r="K12" s="289" t="str">
        <x:v>米</x:v>
      </x:c>
      <x:c r="L12" s="312"/>
      <x:c r="M12" s="313"/>
      <x:c r="N12" s="314" t="str">
        <x:f>IF(AND(ISNUMBER(L12),ISNUMBER(M12)),L12*M12,"待复尺/报价")</x:f>
        <x:v>待复尺/报价</x:v>
      </x:c>
      <x:c r="O12" s="289"/>
      <x:c r="P12" s="289" t="str">
        <x:v>未确认</x:v>
      </x:c>
    </x:row>
    <x:row r="13" ht="36" customHeight="1">
      <x:c r="A13" s="289" t="str">
        <x:v>W-08</x:v>
      </x:c>
      <x:c r="B13" s="289" t="str">
        <x:v>工作室</x:v>
      </x:c>
      <x:c r="C13" s="289" t="str">
        <x:v>本地Cat6A支线</x:v>
      </x:c>
      <x:c r="D13" s="289" t="str">
        <x:v>按实测</x:v>
      </x:c>
      <x:c r="E13" s="289" t="str">
        <x:v>ES210→EAP、Mac、J3455、PC×2、Mac Mini等</x:v>
      </x:c>
      <x:c r="F13" s="289" t="str">
        <x:v>关键主机直连ES210；Apple TV/投影可直连或接AP 1G下联</x:v>
      </x:c>
      <x:c r="G13" s="289" t="str">
        <x:v>关键主机不挂在AP后；设备位留短跳线</x:v>
      </x:c>
      <x:c r="H13" s="289" t="str">
        <x:v>按终端决定PoE</x:v>
      </x:c>
      <x:c r="I13" s="289" t="str">
        <x:v>水电阶段</x:v>
      </x:c>
      <x:c r="J13" s="289" t="str">
        <x:v>Mac走ES210XPP原生10G RJ45；NAS介质入住后按实物选</x:v>
      </x:c>
      <x:c r="K13" s="289" t="str">
        <x:v>米</x:v>
      </x:c>
      <x:c r="L13" s="312"/>
      <x:c r="M13" s="313"/>
      <x:c r="N13" s="314" t="str">
        <x:f>IF(AND(ISNUMBER(L13),ISNUMBER(M13)),L13*M13,"待复尺/报价")</x:f>
        <x:v>待复尺/报价</x:v>
      </x:c>
      <x:c r="O13" s="289"/>
      <x:c r="P13" s="289" t="str">
        <x:v>未确认</x:v>
      </x:c>
    </x:row>
    <x:row r="14" ht="40" customHeight="1">
      <x:c r="A14" s="289" t="str">
        <x:v>W-09</x:v>
      </x:c>
      <x:c r="B14" s="289" t="str">
        <x:v>大厅</x:v>
      </x:c>
      <x:c r="C14" s="289" t="str">
        <x:v>本地Cat6A支线</x:v>
      </x:c>
      <x:c r="D14" s="289" t="str">
        <x:v>按实测</x:v>
      </x:c>
      <x:c r="E14" s="289" t="str">
        <x:v>ES206→EAP772、电视、HALL-IOT-GW</x:v>
      </x:c>
      <x:c r="F14" s="289" t="str">
        <x:v>大厅电视有线；墙面网关/协调器旁留普通插座</x:v>
      </x:c>
      <x:c r="G14" s="289" t="str">
        <x:v>AP顶面进线；网关在箱外，避免金属屏蔽</x:v>
      </x:c>
      <x:c r="H14" s="289" t="str">
        <x:v>本版交换机无PoE，网关按实物另配电源</x:v>
      </x:c>
      <x:c r="I14" s="289" t="str">
        <x:v>水电阶段</x:v>
      </x:c>
      <x:c r="J14" s="289" t="str">
        <x:v>HALL-IOT-GW不是新增中央主干</x:v>
      </x:c>
      <x:c r="K14" s="289" t="str">
        <x:v>米</x:v>
      </x:c>
      <x:c r="L14" s="312"/>
      <x:c r="M14" s="313"/>
      <x:c r="N14" s="314" t="str">
        <x:f>IF(AND(ISNUMBER(L14),ISNUMBER(M14)),L14*M14,"待复尺/报价")</x:f>
        <x:v>待复尺/报价</x:v>
      </x:c>
      <x:c r="O14" s="289"/>
      <x:c r="P14" s="289" t="str">
        <x:v>未确认</x:v>
      </x:c>
    </x:row>
    <x:row r="15" ht="42" customHeight="1">
      <x:c r="A15" s="289" t="str">
        <x:v>W-10</x:v>
      </x:c>
      <x:c r="B15" s="289" t="str">
        <x:v>主卧 AP 下联；次卧 RJ45</x:v>
      </x:c>
      <x:c r="C15" s="289" t="str">
        <x:v>AP下联短线/墙口</x:v>
      </x:c>
      <x:c r="D15" s="289" t="str">
        <x:v>按实测</x:v>
      </x:c>
      <x:c r="E15" s="289" t="str">
        <x:v>主卧 EAP775-Wall 有 1×2.5G+3×1G 下联；次卧暂无 AP 下联口</x:v>
      </x:c>
      <x:c r="F15" s="289" t="str">
        <x:v>次卧墙口可接已有 TL-7DR3630 的 2.5G 口，设有线 AP 模式；其余终端按实际端口接入</x:v>
      </x:c>
      <x:c r="G15" s="289" t="str">
        <x:v>在图纸标明唯一2.5G下联；其他3口为1G</x:v>
      </x:c>
      <x:c r="H15" s="289" t="str">
        <x:v>次卧 TL-7DR3630 使用自带 12V 电源，不接 PoE</x:v>
      </x:c>
      <x:c r="I15" s="289" t="str">
        <x:v>水电阶段</x:v>
      </x:c>
      <x:c r="J15" s="289" t="str">
        <x:v>须V2才有四下联口；V1.20仅三口，不得静默代换。AP故障也影响本房有线。</x:v>
      </x:c>
      <x:c r="K15" s="289" t="str">
        <x:v>条/米</x:v>
      </x:c>
      <x:c r="L15" s="312"/>
      <x:c r="M15" s="313"/>
      <x:c r="N15" s="314" t="str">
        <x:f>IF(AND(ISNUMBER(L15),ISNUMBER(M15)),L15*M15,"待复尺/报价")</x:f>
        <x:v>待复尺/报价</x:v>
      </x:c>
      <x:c r="O15" s="289"/>
      <x:c r="P15" s="289" t="str">
        <x:v>未确认</x:v>
      </x:c>
    </x:row>
    <x:row r="16" ht="27" customHeight="1">
      <x:c r="A16" s="289" t="str">
        <x:v>W-11</x:v>
      </x:c>
      <x:c r="B16" s="289" t="str">
        <x:v>全屋</x:v>
      </x:c>
      <x:c r="C16" s="289" t="str">
        <x:v>端接与配线</x:v>
      </x:c>
      <x:c r="D16" s="289" t="str">
        <x:v>按端接表</x:v>
      </x:c>
      <x:c r="E16" s="289" t="str">
        <x:v>Keystone、墙面板、配线架、跳线、MPTL端头</x:v>
      </x:c>
      <x:c r="F16" s="289" t="str">
        <x:v>两端模块方案才按主干8模块+8跳线估算；MPTL按实扣减</x:v>
      </x:c>
      <x:c r="G16" s="289" t="str">
        <x:v>每条链路编号、两端标签、屏蔽连续接地</x:v>
      </x:c>
      <x:c r="H16" s="289" t="str">
        <x:v>PoE链路做认证</x:v>
      </x:c>
      <x:c r="I16" s="289" t="str">
        <x:v>弱电施工</x:v>
      </x:c>
      <x:c r="J16" s="289" t="str">
        <x:v>不得把旧端接数量直接照搬</x:v>
      </x:c>
      <x:c r="K16" s="289" t="str">
        <x:v>套</x:v>
      </x:c>
      <x:c r="L16" s="312"/>
      <x:c r="M16" s="313"/>
      <x:c r="N16" s="314" t="str">
        <x:f>IF(AND(ISNUMBER(L16),ISNUMBER(M16)),L16*M16,"待复尺/报价")</x:f>
        <x:v>待复尺/报价</x:v>
      </x:c>
      <x:c r="O16" s="289"/>
      <x:c r="P16" s="289" t="str">
        <x:v>未确认</x:v>
      </x:c>
    </x:row>
    <x:row r="17" ht="27" customHeight="1">
      <x:c r="A17" s="289" t="str">
        <x:v>W-12</x:v>
      </x:c>
      <x:c r="B17" s="289" t="str">
        <x:v>全屋</x:v>
      </x:c>
      <x:c r="C17" s="289" t="str">
        <x:v>弱电管/牵引线</x:v>
      </x:c>
      <x:c r="D17" s="289" t="str">
        <x:v>4条主干+分支</x:v>
      </x:c>
      <x:c r="E17" s="289" t="str">
        <x:v>每条留可抽换余量，避免不可维护耦合器</x:v>
      </x:c>
      <x:c r="F17" s="289" t="str">
        <x:v>未来NAS介质不埋墙；只保留可换路径</x:v>
      </x:c>
      <x:c r="G17" s="289" t="str">
        <x:v>转弯半径、穿线率、检修点按施工方规范</x:v>
      </x:c>
      <x:c r="H17" s="289" t="str">
        <x:v>无</x:v>
      </x:c>
      <x:c r="I17" s="289" t="str">
        <x:v>水电阶段</x:v>
      </x:c>
      <x:c r="J17" s="289" t="str">
        <x:v>不默认第二条中央网线，不默认每房光纤</x:v>
      </x:c>
      <x:c r="K17" s="289" t="str">
        <x:v>米</x:v>
      </x:c>
      <x:c r="L17" s="312"/>
      <x:c r="M17" s="313"/>
      <x:c r="N17" s="314" t="str">
        <x:f>IF(AND(ISNUMBER(L17),ISNUMBER(M17)),L17*M17,"待复尺/报价")</x:f>
        <x:v>待复尺/报价</x:v>
      </x:c>
      <x:c r="O17" s="289"/>
      <x:c r="P17" s="289" t="str">
        <x:v>未确认</x:v>
      </x:c>
    </x:row>
    <x:row r="18" ht="40" customHeight="1">
      <x:c r="A18" s="289" t="str">
        <x:v>W-13</x:v>
      </x:c>
      <x:c r="B18" s="289" t="str">
        <x:v>中央/工作室/大厅</x:v>
      </x:c>
      <x:c r="C18" s="289" t="str">
        <x:v>接地插座与电源位置</x:v>
      </x:c>
      <x:c r="D18" s="289" t="str">
        <x:v>按点位</x:v>
      </x:c>
      <x:c r="E18" s="289" t="str">
        <x:v>3A中央光猫/网关/交换机；3B光猫/PoE网关；工作室/大厅各一交换机</x:v>
      </x:c>
      <x:c r="F18" s="289" t="str">
        <x:v>保留原装适配器；按铭牌选择国标交流线</x:v>
      </x:c>
      <x:c r="G18" s="289" t="str">
        <x:v>强弱电分隔、接地、PDU/排插可维护</x:v>
      </x:c>
      <x:c r="H18" s="289" t="str">
        <x:v>UPS后续再选</x:v>
      </x:c>
      <x:c r="I18" s="289" t="str">
        <x:v>水电阶段</x:v>
      </x:c>
      <x:c r="J18" s="289" t="str">
        <x:v>不增加四个独立注入器插座；仍留扩展与UPS位置</x:v>
      </x:c>
      <x:c r="K18" s="289" t="str">
        <x:v>组</x:v>
      </x:c>
      <x:c r="L18" s="312"/>
      <x:c r="M18" s="313"/>
      <x:c r="N18" s="314" t="str">
        <x:f>IF(AND(ISNUMBER(L18),ISNUMBER(M18)),L18*M18,"待复尺/报价")</x:f>
        <x:v>待复尺/报价</x:v>
      </x:c>
      <x:c r="O18" s="289"/>
      <x:c r="P18" s="289" t="str">
        <x:v>未确认</x:v>
      </x:c>
    </x:row>
    <x:row r="19" ht="27" customHeight="1">
      <x:c r="A19" s="289" t="str">
        <x:v>W-14</x:v>
      </x:c>
      <x:c r="B19" s="289" t="str">
        <x:v>全屋</x:v>
      </x:c>
      <x:c r="C19" s="289" t="str">
        <x:v>标签与交付记录</x:v>
      </x:c>
      <x:c r="D19" s="289" t="n">
        <x:v>1</x:v>
      </x:c>
      <x:c r="E19" s="289" t="str">
        <x:v>一套编号表+照片+竣工图</x:v>
      </x:c>
      <x:c r="F19" s="289" t="str">
        <x:v>记录TRUNK-MASTER/SECOND/STUDIO/HALL、端口和PoE状态</x:v>
      </x:c>
      <x:c r="G19" s="289" t="str">
        <x:v>线缆两端、配线架、交换机端口一致</x:v>
      </x:c>
      <x:c r="H19" s="289" t="str">
        <x:v>无</x:v>
      </x:c>
      <x:c r="I19" s="289" t="str">
        <x:v>弱电施工</x:v>
      </x:c>
      <x:c r="J19" s="289" t="str">
        <x:v>交付纸面/电子版给业主</x:v>
      </x:c>
      <x:c r="K19" s="289" t="str">
        <x:v>套</x:v>
      </x:c>
      <x:c r="L19" s="312"/>
      <x:c r="M19" s="313"/>
      <x:c r="N19" s="314" t="str">
        <x:f>IF(AND(ISNUMBER(L19),ISNUMBER(M19)),L19*M19,"待复尺/报价")</x:f>
        <x:v>待复尺/报价</x:v>
      </x:c>
      <x:c r="O19" s="289"/>
      <x:c r="P19" s="289" t="str">
        <x:v>未确认</x:v>
      </x:c>
    </x:row>
    <x:row r="20" ht="42" customHeight="1">
      <x:c r="A20" s="289" t="str">
        <x:v>W-15</x:v>
      </x:c>
      <x:c r="B20" s="289" t="str">
        <x:v>全屋</x:v>
      </x:c>
      <x:c r="C20" s="289" t="str">
        <x:v>链路认证与验收</x:v>
      </x:c>
      <x:c r="D20" s="289" t="n">
        <x:v>1</x:v>
      </x:c>
      <x:c r="E20" s="289" t="str">
        <x:v>Cat6A永久链路/信道测试</x:v>
      </x:c>
      <x:c r="F20" s="289" t="str">
        <x:v>保存长度、线序、回波/串扰等施工方报告；实测2.5G/10G协商</x:v>
      </x:c>
      <x:c r="G20" s="289" t="str">
        <x:v>不能只用测速软件最高分替代布线认证</x:v>
      </x:c>
      <x:c r="H20" s="289" t="str">
        <x:v>无</x:v>
      </x:c>
      <x:c r="I20" s="289" t="str">
        <x:v>入住前</x:v>
      </x:c>
      <x:c r="J20" s="289" t="str">
        <x:v>Mac本地10G、NAS未来SFP+按设备到货后单独验</x:v>
      </x:c>
      <x:c r="K20" s="289" t="str">
        <x:v>项</x:v>
      </x:c>
      <x:c r="L20" s="312"/>
      <x:c r="M20" s="313"/>
      <x:c r="N20" s="314" t="str">
        <x:f>IF(AND(ISNUMBER(L20),ISNUMBER(M20)),L20*M20,"待复尺/报价")</x:f>
        <x:v>待复尺/报价</x:v>
      </x:c>
      <x:c r="O20" s="289"/>
      <x:c r="P20" s="289" t="str">
        <x:v>未确认</x:v>
      </x:c>
    </x:row>
    <x:row r="21" ht="42" customHeight="1">
      <x:c r="A21" s="289" t="str">
        <x:v>W-16</x:v>
      </x:c>
      <x:c r="B21" s="289" t="str">
        <x:v>全屋</x:v>
      </x:c>
      <x:c r="C21" s="289" t="str">
        <x:v>空管/穿线辅材</x:v>
      </x:c>
      <x:c r="D21" s="289" t="str">
        <x:v>按复尺</x:v>
      </x:c>
      <x:c r="E21" s="289" t="str">
        <x:v>阻燃合规弱电管、接头、弯管、卡扣、检修盒、护口与拉线</x:v>
      </x:c>
      <x:c r="F21" s="289" t="str">
        <x:v>直径/穿线率按Cat6A外径和允许弯曲半径设计</x:v>
      </x:c>
      <x:c r="G21" s="289" t="str">
        <x:v>少急弯、可抽换；穿墙/楼板位置按要求封堵</x:v>
      </x:c>
      <x:c r="H21" s="289" t="str">
        <x:v>强弱电分管/分隔</x:v>
      </x:c>
      <x:c r="I21" s="289" t="str">
        <x:v>封墙前</x:v>
      </x:c>
      <x:c r="J21" s="289" t="str">
        <x:v>空管不是隐含第二条已铺主干；保留后续换线能力</x:v>
      </x:c>
      <x:c r="K21" s="289" t="str">
        <x:v>米/批</x:v>
      </x:c>
      <x:c r="L21" s="312"/>
      <x:c r="M21" s="313"/>
      <x:c r="N21" s="314" t="str">
        <x:f>IF(AND(ISNUMBER(L21),ISNUMBER(M21)),L21*M21,"待复尺/报价")</x:f>
        <x:v>待复尺/报价</x:v>
      </x:c>
      <x:c r="O21" s="289"/>
      <x:c r="P21" s="289" t="str">
        <x:v>未确认</x:v>
      </x:c>
    </x:row>
    <x:row r="22" ht="42" customHeight="1">
      <x:c r="A22" s="289" t="str">
        <x:v>W-17</x:v>
      </x:c>
      <x:c r="B22" s="289" t="str">
        <x:v>中央/房间箱</x:v>
      </x:c>
      <x:c r="C22" s="289" t="str">
        <x:v>配线支架和面板</x:v>
      </x:c>
      <x:c r="D22" s="289" t="str">
        <x:v>按复尺</x:v>
      </x:c>
      <x:c r="E22" s="289" t="str">
        <x:v>Cat6A模块、配线架/支架、墙面板、空口堵片</x:v>
      </x:c>
      <x:c r="F22" s="289" t="str">
        <x:v>先按逐条布线表选择模块或MPTL端接，拒绝裸线随意压普通水晶头</x:v>
      </x:c>
      <x:c r="G22" s="289" t="str">
        <x:v>端接器件适配实芯线外径、AWG和PoE；留维护余量</x:v>
      </x:c>
      <x:c r="H22" s="289" t="str">
        <x:v>屏蔽系统接地另核</x:v>
      </x:c>
      <x:c r="I22" s="289" t="str">
        <x:v>封墙前</x:v>
      </x:c>
      <x:c r="J22" s="289" t="str">
        <x:v>不是所有链路两端都要模块，数量不能统一照买8+8</x:v>
      </x:c>
      <x:c r="K22" s="289" t="str">
        <x:v>个</x:v>
      </x:c>
      <x:c r="L22" s="312"/>
      <x:c r="M22" s="313"/>
      <x:c r="N22" s="314" t="str">
        <x:f>IF(AND(ISNUMBER(L22),ISNUMBER(M22)),L22*M22,"待复尺/报价")</x:f>
        <x:v>待复尺/报价</x:v>
      </x:c>
      <x:c r="O22" s="289"/>
      <x:c r="P22" s="289" t="str">
        <x:v>未确认</x:v>
      </x:c>
    </x:row>
    <x:row r="23" ht="40" customHeight="1">
      <x:c r="A23" s="289" t="str">
        <x:v>W-18</x:v>
      </x:c>
      <x:c r="B23" s="289" t="str">
        <x:v>全屋</x:v>
      </x:c>
      <x:c r="C23" s="289" t="str">
        <x:v>成品跳线/现场插头</x:v>
      </x:c>
      <x:c r="D23" s="289" t="str">
        <x:v>按端接表</x:v>
      </x:c>
      <x:c r="E23" s="289" t="str">
        <x:v>Cat6A纯铜成品跳线、合规实芯线现场端接头</x:v>
      </x:c>
      <x:c r="F23" s="289" t="str">
        <x:v>中央跳线、箱内短线、终端跳线逐条数；短距离不买超长卷线</x:v>
      </x:c>
      <x:c r="G23" s="289" t="str">
        <x:v>不采用CCA、二芯分线器或墙内不可检修耦合器</x:v>
      </x:c>
      <x:c r="H23" s="289" t="str">
        <x:v>PoE匹配</x:v>
      </x:c>
      <x:c r="I23" s="289" t="str">
        <x:v>入住前</x:v>
      </x:c>
      <x:c r="J23" s="289" t="str">
        <x:v>按端接表逐条统计跳线；不增加供电器Data In短跳线</x:v>
      </x:c>
      <x:c r="K23" s="289" t="str">
        <x:v>条</x:v>
      </x:c>
      <x:c r="L23" s="312"/>
      <x:c r="M23" s="313"/>
      <x:c r="N23" s="314" t="str">
        <x:f>IF(AND(ISNUMBER(L23),ISNUMBER(M23)),L23*M23,"待复尺/报价")</x:f>
        <x:v>待复尺/报价</x:v>
      </x:c>
      <x:c r="O23" s="289"/>
      <x:c r="P23" s="289" t="str">
        <x:v>未确认</x:v>
      </x:c>
    </x:row>
    <x:row r="24" ht="42" customHeight="1">
      <x:c r="A24" s="289" t="str">
        <x:v>W-19</x:v>
      </x:c>
      <x:c r="B24" s="289" t="str">
        <x:v>全屋</x:v>
      </x:c>
      <x:c r="C24" s="289" t="str">
        <x:v>理线/固定辅件</x:v>
      </x:c>
      <x:c r="D24" s="289" t="str">
        <x:v>按实耗</x:v>
      </x:c>
      <x:c r="E24" s="289" t="str">
        <x:v>魔术扎带、线标、热缩/标识套管、束线座、螺钉/膨胀件</x:v>
      </x:c>
      <x:c r="F24" s="289" t="str">
        <x:v>每条线两端标同一ID；AP随箱附件核清再补缺</x:v>
      </x:c>
      <x:c r="G24" s="289" t="str">
        <x:v>禁止扎带过紧挤压Cat6A；电源与数据分束</x:v>
      </x:c>
      <x:c r="H24" s="289" t="str">
        <x:v>无</x:v>
      </x:c>
      <x:c r="I24" s="289" t="str">
        <x:v>施工/安装</x:v>
      </x:c>
      <x:c r="J24" s="289" t="str">
        <x:v>AP/交换机原装支架、电源砖不重复购买</x:v>
      </x:c>
      <x:c r="K24" s="289" t="str">
        <x:v>批</x:v>
      </x:c>
      <x:c r="L24" s="312"/>
      <x:c r="M24" s="313"/>
      <x:c r="N24" s="314" t="str">
        <x:f>IF(AND(ISNUMBER(L24),ISNUMBER(M24)),L24*M24,"待复尺/报价")</x:f>
        <x:v>待复尺/报价</x:v>
      </x:c>
      <x:c r="O24" s="289"/>
      <x:c r="P24" s="289" t="str">
        <x:v>未确认</x:v>
      </x:c>
    </x:row>
    <x:row r="25" ht="36" customHeight="1">
      <x:c r="A25" s="289" t="str">
        <x:v>W-20</x:v>
      </x:c>
      <x:c r="B25" s="289" t="str">
        <x:v>中央/两箱</x:v>
      </x:c>
      <x:c r="C25" s="289" t="str">
        <x:v>电源线/接地辅材</x:v>
      </x:c>
      <x:c r="D25" s="289" t="str">
        <x:v>按实物</x:v>
      </x:c>
      <x:c r="E25" s="289" t="str">
        <x:v>合规国标电源线/必要插头转换、接地线及端子</x:v>
      </x:c>
      <x:c r="F25" s="289" t="str">
        <x:v>100–240V原装交换机适配器继续用；美规插头按实物替换交流线</x:v>
      </x:c>
      <x:c r="G25" s="289" t="str">
        <x:v>接地/保护由有资质电工设计施工；不擅自改电源砖输出</x:v>
      </x:c>
      <x:c r="H25" s="289" t="str">
        <x:v>220V/50Hz</x:v>
      </x:c>
      <x:c r="I25" s="289" t="str">
        <x:v>入住前</x:v>
      </x:c>
      <x:c r="J25" s="289" t="str">
        <x:v>3B Fusion PoE的交流输入/插头须按实物铭牌核，不能套普通Fusion USB-C信息</x:v>
      </x:c>
      <x:c r="K25" s="289" t="str">
        <x:v>批</x:v>
      </x:c>
      <x:c r="L25" s="312"/>
      <x:c r="M25" s="313"/>
      <x:c r="N25" s="314" t="str">
        <x:f>IF(AND(ISNUMBER(L25),ISNUMBER(M25)),L25*M25,"待复尺/报价")</x:f>
        <x:v>待复尺/报价</x:v>
      </x:c>
      <x:c r="O25" s="289"/>
      <x:c r="P25" s="289" t="str">
        <x:v>未确认</x:v>
      </x:c>
    </x:row>
    <x:row r="26" ht="40" customHeight="1">
      <x:c r="A26" s="289" t="str">
        <x:v>W-21</x:v>
      </x:c>
      <x:c r="B26" s="289" t="str">
        <x:v>智慧家居界面</x:v>
      </x:c>
      <x:c r="C26" s="289" t="str">
        <x:v>未来点位预留</x:v>
      </x:c>
      <x:c r="D26" s="289" t="str">
        <x:v>点位待定</x:v>
      </x:c>
      <x:c r="E26" s="289" t="str">
        <x:v>壁挂平板/网关、入户门铃、PoE摄像头的空管/电源界面</x:v>
      </x:c>
      <x:c r="F26" s="289" t="str">
        <x:v>装修前由智能家居公司确认点位和协议；未定不先购买端设备</x:v>
      </x:c>
      <x:c r="G26" s="289" t="str">
        <x:v>墙面屏只先留可维护供电与无线覆盖；网关放金属箱外</x:v>
      </x:c>
      <x:c r="H26" s="289" t="str">
        <x:v>若选PoE设备需新增匹配供电，不占用AP转供</x:v>
      </x:c>
      <x:c r="I26" s="289" t="str">
        <x:v>封墙前确认</x:v>
      </x:c>
      <x:c r="J26" s="289" t="str">
        <x:v>不默认卧室/卫生间装摄像头；不自动增每房光纤</x:v>
      </x:c>
      <x:c r="K26" s="289" t="str">
        <x:v>处</x:v>
      </x:c>
      <x:c r="L26" s="312"/>
      <x:c r="M26" s="313"/>
      <x:c r="N26" s="314" t="str">
        <x:f>IF(AND(ISNUMBER(L26),ISNUMBER(M26)),L26*M26,"待复尺/报价")</x:f>
        <x:v>待复尺/报价</x:v>
      </x:c>
      <x:c r="O26" s="289"/>
      <x:c r="P26" s="289" t="str">
        <x:v>未确认</x:v>
      </x:c>
    </x:row>
    <x:row r="27" ht="24" customHeight="1">
      <x:c r="A27" s="262"/>
      <x:c r="B27" s="262"/>
      <x:c r="C27" s="262"/>
      <x:c r="D27" s="262"/>
      <x:c r="E27" s="262"/>
      <x:c r="F27" s="262"/>
      <x:c r="G27" s="262"/>
      <x:c r="H27" s="262"/>
      <x:c r="I27" s="262"/>
      <x:c r="J27" s="262"/>
      <x:c r="K27" s="262"/>
      <x:c r="L27" s="262"/>
      <x:c r="M27" s="262"/>
      <x:c r="N27" s="262"/>
      <x:c r="O27" s="262"/>
      <x:c r="P27" s="262"/>
    </x:row>
    <x:row r="28" ht="57" customHeight="1">
      <x:c r="A28" s="262"/>
      <x:c r="B28" s="262"/>
      <x:c r="C28" s="262"/>
      <x:c r="D28" s="262"/>
      <x:c r="E28" s="262"/>
      <x:c r="F28" s="262"/>
      <x:c r="G28" s="262"/>
      <x:c r="H28" s="262"/>
      <x:c r="I28" s="262"/>
      <x:c r="J28" s="262"/>
      <x:c r="K28" s="300" t="str">
        <x:v>材料/施工已报价部分（不完整）</x:v>
      </x:c>
      <x:c r="L28" s="300"/>
      <x:c r="M28" s="300"/>
      <x:c r="N28" s="317" t="str">
        <x:f>IF(COUNT(N6:N26)=0,"待复尺/报价",SUM(N6:N26))</x:f>
        <x:v>待复尺/报价</x:v>
      </x:c>
      <x:c r="O28" s="262"/>
      <x:c r="P28" s="262"/>
    </x:row>
  </x:sheetData>
  <x:mergeCells>
    <x:mergeCell ref="A1:P1"/>
    <x:mergeCell ref="A2:P3"/>
    <x:mergeCell ref="A4:K4"/>
    <x:mergeCell ref="K28:M28"/>
  </x:mergeCells>
  <x:conditionalFormatting sqref="I6:I26">
    <x:cfRule type="expression" dxfId="5" priority="1">
      <x:formula>OR($I6="已确定",$I6="已确认",$I6="已验收",$I6="已有/复用")</x:formula>
    </x:cfRule>
    <x:cfRule type="expression" dxfId="6" priority="2">
      <x:formula>OR($I6="待确认",$I6="待复尺",$I6="待核验",$I6="暂选",$I6="暂定")</x:formula>
    </x:cfRule>
    <x:cfRule type="expression" dxfId="7" priority="3">
      <x:formula>OR($I6="入住后",$I6="后置",$I6="可选")</x:formula>
    </x:cfRule>
    <x:cfRule type="expression" dxfId="8" priority="4">
      <x:formula>OR($I6="不采购",$I6="不需要")</x:formula>
    </x:cfRule>
    <x:cfRule type="expression" dxfId="9" priority="5">
      <x:formula>OR($I6="风险",$I6="有遗留问题")</x:formula>
    </x:cfRule>
  </x:conditionalFormatting>
  <x:dataValidations count="1">
    <x:dataValidation type="list" sqref="P6:P26">
      <x:formula1>"未确认,待复尺,待报价,已确认,已采购,已施工"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f7b23d397d4217"/>
  </x:tableParts>
</x:worksheet>
</file>

<file path=xl/worksheets/sheet4.xml><?xml version="1.0" encoding="utf-8"?>
<x:worksheet xmlns:x="http://schemas.openxmlformats.org/spreadsheetml/2006/main">
  <x:sheetPr>
    <x:tabColor rgb="FF688FB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9" hidden="0" customWidth="1"/>
    <x:col min="5" max="5" width="27" hidden="0" customWidth="1"/>
    <x:col min="6" max="6" width="20" hidden="0" customWidth="1"/>
    <x:col min="7" max="7" width="56" hidden="0" customWidth="1"/>
    <x:col min="8" max="8" width="13" hidden="0" customWidth="1"/>
    <x:col min="9" max="9" width="13" hidden="0" customWidth="1"/>
    <x:col min="10" max="10" width="27" hidden="0" customWidth="1"/>
    <x:col min="11" max="11" width="27" hidden="0" customWidth="1"/>
    <x:col min="12" max="12" width="15" hidden="0" customWidth="1"/>
    <x:col min="13" max="13" width="14" hidden="0" customWidth="1"/>
  </x:cols>
  <x:sheetData>
    <x:row r="1" ht="32" customHeight="1">
      <x:c r="A1" s="338" t="str">
        <x:v>逐条布线、端接与物理端口登记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  <x:c r="L1" s="254"/>
      <x:c r="M1" s="254"/>
    </x:row>
    <x:row r="2" ht="22" customHeight="1">
      <x:c r="A2" s="255" t="str">
        <x:v>四条中央 Cat6A 不变。3A 起点为中央 ES206XPP；3B 为 Fusion PoE。次卧主干端接 RJ45 墙口，默认关闭 PoE，暂不购 AP。逻辑标签不是物理端口号。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  <x:c r="M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</x:row>
    <x:row r="4" ht="24" customHeight="1">
      <x:c r="A4" s="262"/>
      <x:c r="B4" s="262"/>
      <x:c r="C4" s="262"/>
      <x:c r="D4" s="262"/>
      <x:c r="E4" s="262"/>
      <x:c r="F4" s="262"/>
      <x:c r="G4" s="262"/>
      <x:c r="H4" s="262"/>
      <x:c r="I4" s="262"/>
      <x:c r="J4" s="262"/>
      <x:c r="K4" s="262"/>
      <x:c r="L4" s="262"/>
      <x:c r="M4" s="262"/>
    </x:row>
    <x:row r="5" ht="27" customHeight="1">
      <x:c r="A5" s="19" t="str">
        <x:v>线缆ID</x:v>
      </x:c>
      <x:c r="B5" s="20" t="str">
        <x:v>起点（逻辑）</x:v>
      </x:c>
      <x:c r="C5" s="20" t="str">
        <x:v>终点/网络点</x:v>
      </x:c>
      <x:c r="D5" s="20" t="str">
        <x:v>介质</x:v>
      </x:c>
      <x:c r="E5" s="20" t="str">
        <x:v>速率/供电</x:v>
      </x:c>
      <x:c r="F5" s="20" t="str">
        <x:v>范围</x:v>
      </x:c>
      <x:c r="G5" s="20" t="str">
        <x:v>施工/接法要求</x:v>
      </x:c>
      <x:c r="H5" s="20" t="str">
        <x:v>实测长度m</x:v>
      </x:c>
      <x:c r="I5" s="20" t="str">
        <x:v>订购长度m</x:v>
      </x:c>
      <x:c r="J5" s="20" t="str">
        <x:v>起端端接/物理口</x:v>
      </x:c>
      <x:c r="K5" s="20" t="str">
        <x:v>终端端接/物理口</x:v>
      </x:c>
      <x:c r="L5" s="20" t="str">
        <x:v>施工状态</x:v>
      </x:c>
      <x:c r="M5" s="21" t="str">
        <x:v>图纸编号</x:v>
      </x:c>
    </x:row>
    <x:row r="6" ht="36" customHeight="1">
      <x:c r="A6" s="283" t="str">
        <x:v>TRUNK-MASTER</x:v>
      </x:c>
      <x:c r="B6" s="283" t="str">
        <x:v>3A中央 C-02 / 3B Fusion PoE LAN1</x:v>
      </x:c>
      <x:c r="C6" s="283" t="str">
        <x:v>主卧 AP-MASTER 上联</x:v>
      </x:c>
      <x:c r="D6" s="283" t="str">
        <x:v>Cat6A实芯纯铜</x:v>
      </x:c>
      <x:c r="E6" s="283" t="str">
        <x:v>2.5G + PoE（at模式规划）</x:v>
      </x:c>
      <x:c r="F6" s="283" t="str">
        <x:v>必需主干</x:v>
      </x:c>
      <x:c r="G6" s="283" t="str">
        <x:v>中央直达面板AP，不设卧室箱</x:v>
      </x:c>
      <x:c r="H6" s="320"/>
      <x:c r="I6" s="320"/>
      <x:c r="J6" s="309"/>
      <x:c r="K6" s="309"/>
      <x:c r="L6" s="283" t="str">
        <x:v>待复尺</x:v>
      </x:c>
      <x:c r="M6" s="283" t="str">
        <x:v>T-01</x:v>
      </x:c>
    </x:row>
    <x:row r="7" ht="36" customHeight="1">
      <x:c r="A7" s="289" t="str">
        <x:v>TRUNK-SECOND</x:v>
      </x:c>
      <x:c r="B7" s="289" t="str">
        <x:v>3A中央 C-03 / 3B Fusion PoE LAN2</x:v>
      </x:c>
      <x:c r="C7" s="289" t="str">
        <x:v>次卧 RJ45 墙面信息口（AP 暂不购）</x:v>
      </x:c>
      <x:c r="D7" s="289" t="str">
        <x:v>Cat6A实芯纯铜</x:v>
      </x:c>
      <x:c r="E7" s="289" t="str">
        <x:v>Cat6A，目标 2.5G；默认无 PoE</x:v>
      </x:c>
      <x:c r="F7" s="289" t="str">
        <x:v>必需主干</x:v>
      </x:c>
      <x:c r="G7" s="289" t="str">
        <x:v>端接、认证、贴标签；可选已有 TL-7DR3630 有线 AP，独立市电</x:v>
      </x:c>
      <x:c r="H7" s="321"/>
      <x:c r="I7" s="321"/>
      <x:c r="J7" s="312"/>
      <x:c r="K7" s="312"/>
      <x:c r="L7" s="289" t="str">
        <x:v>待复尺</x:v>
      </x:c>
      <x:c r="M7" s="289" t="str">
        <x:v>T-02</x:v>
      </x:c>
    </x:row>
    <x:row r="8" ht="36" customHeight="1">
      <x:c r="A8" s="289" t="str">
        <x:v>TRUNK-STUDIO</x:v>
      </x:c>
      <x:c r="B8" s="289" t="str">
        <x:v>3A中央 C-04 / 3B Fusion PoE LAN3</x:v>
      </x:c>
      <x:c r="C8" s="289" t="str">
        <x:v>工作室 ES210 S-01</x:v>
      </x:c>
      <x:c r="D8" s="289" t="str">
        <x:v>Cat6A实芯纯铜</x:v>
      </x:c>
      <x:c r="E8" s="289" t="str">
        <x:v>2.5G，PoE关闭</x:v>
      </x:c>
      <x:c r="F8" s="289" t="str">
        <x:v>必需主干</x:v>
      </x:c>
      <x:c r="G8" s="289" t="str">
        <x:v>本地交换机市电供电</x:v>
      </x:c>
      <x:c r="H8" s="321"/>
      <x:c r="I8" s="321"/>
      <x:c r="J8" s="312"/>
      <x:c r="K8" s="312"/>
      <x:c r="L8" s="289" t="str">
        <x:v>待复尺</x:v>
      </x:c>
      <x:c r="M8" s="289" t="str">
        <x:v>T-03</x:v>
      </x:c>
    </x:row>
    <x:row r="9" ht="36" customHeight="1">
      <x:c r="A9" s="289" t="str">
        <x:v>TRUNK-HALL</x:v>
      </x:c>
      <x:c r="B9" s="289" t="str">
        <x:v>3A中央 C-05 / 3B Fusion PoE LAN4</x:v>
      </x:c>
      <x:c r="C9" s="289" t="str">
        <x:v>大厅 ES206 H-01</x:v>
      </x:c>
      <x:c r="D9" s="289" t="str">
        <x:v>Cat6A实芯纯铜</x:v>
      </x:c>
      <x:c r="E9" s="289" t="str">
        <x:v>2.5G，PoE关闭</x:v>
      </x:c>
      <x:c r="F9" s="289" t="str">
        <x:v>必需主干</x:v>
      </x:c>
      <x:c r="G9" s="289" t="str">
        <x:v>本地交换机市电供电</x:v>
      </x:c>
      <x:c r="H9" s="321"/>
      <x:c r="I9" s="321"/>
      <x:c r="J9" s="312"/>
      <x:c r="K9" s="312"/>
      <x:c r="L9" s="289" t="str">
        <x:v>待复尺</x:v>
      </x:c>
      <x:c r="M9" s="289" t="str">
        <x:v>T-04</x:v>
      </x:c>
    </x:row>
    <x:row r="10" ht="36" customHeight="1">
      <x:c r="A10" s="289" t="str">
        <x:v>LOCAL-STUDIO-AP</x:v>
      </x:c>
      <x:c r="B10" s="289" t="str">
        <x:v>工作室ES210XPP S-08</x:v>
      </x:c>
      <x:c r="C10" s="289" t="str">
        <x:v>工作室 AP-STUDIO 上联</x:v>
      </x:c>
      <x:c r="D10" s="289" t="str">
        <x:v>Cat6A实芯纯铜</x:v>
      </x:c>
      <x:c r="E10" s="289" t="str">
        <x:v>2.5G + 802.3at</x:v>
      </x:c>
      <x:c r="F10" s="289" t="str">
        <x:v>必需本地支线</x:v>
      </x:c>
      <x:c r="G10" s="289" t="str">
        <x:v>AP箱外面板安装；不启用PoE Out</x:v>
      </x:c>
      <x:c r="H10" s="321"/>
      <x:c r="I10" s="321"/>
      <x:c r="J10" s="312"/>
      <x:c r="K10" s="312"/>
      <x:c r="L10" s="289" t="str">
        <x:v>待复尺</x:v>
      </x:c>
      <x:c r="M10" s="289" t="str">
        <x:v>L-01</x:v>
      </x:c>
    </x:row>
    <x:row r="11" ht="36" customHeight="1">
      <x:c r="A11" s="289" t="str">
        <x:v>LOCAL-HALL-AP</x:v>
      </x:c>
      <x:c r="B11" s="289" t="str">
        <x:v>大厅ES206XPP H-02</x:v>
      </x:c>
      <x:c r="C11" s="289" t="str">
        <x:v>大厅 EAP772 吊顶</x:v>
      </x:c>
      <x:c r="D11" s="289" t="str">
        <x:v>Cat6A实芯纯铜</x:v>
      </x:c>
      <x:c r="E11" s="289" t="str">
        <x:v>2.5G + PoE+</x:v>
      </x:c>
      <x:c r="F11" s="289" t="str">
        <x:v>必需本地支线</x:v>
      </x:c>
      <x:c r="G11" s="289" t="str">
        <x:v>AP可见面安装，不藏顶内</x:v>
      </x:c>
      <x:c r="H11" s="321"/>
      <x:c r="I11" s="321"/>
      <x:c r="J11" s="312"/>
      <x:c r="K11" s="312"/>
      <x:c r="L11" s="289" t="str">
        <x:v>待复尺</x:v>
      </x:c>
      <x:c r="M11" s="289" t="str">
        <x:v>L-02</x:v>
      </x:c>
    </x:row>
    <x:row r="12" ht="36" customHeight="1">
      <x:c r="A12" s="289" t="str">
        <x:v>HALL-IOT-GW</x:v>
      </x:c>
      <x:c r="B12" s="289" t="str">
        <x:v>大厅 ES206 H-04</x:v>
      </x:c>
      <x:c r="C12" s="289" t="str">
        <x:v>大厅箱外网关/协调器墙口</x:v>
      </x:c>
      <x:c r="D12" s="289" t="str">
        <x:v>Cat6A实芯纯铜</x:v>
      </x:c>
      <x:c r="E12" s="289" t="str">
        <x:v>数据；网关普通供电或另配注入器</x:v>
      </x:c>
      <x:c r="F12" s="289" t="str">
        <x:v>必需预留支线</x:v>
      </x:c>
      <x:c r="G12" s="289" t="str">
        <x:v>墙口旁预留普通插座；网关和HA协调器按一条接入路径先选</x:v>
      </x:c>
      <x:c r="H12" s="321"/>
      <x:c r="I12" s="321"/>
      <x:c r="J12" s="312"/>
      <x:c r="K12" s="312"/>
      <x:c r="L12" s="289" t="str">
        <x:v>待复尺</x:v>
      </x:c>
      <x:c r="M12" s="289" t="str">
        <x:v>L-03</x:v>
      </x:c>
    </x:row>
    <x:row r="13" ht="36" customHeight="1">
      <x:c r="A13" s="289" t="str">
        <x:v>LOCAL-MAC</x:v>
      </x:c>
      <x:c r="B13" s="289" t="str">
        <x:v>工作室ES210XPP 10G RJ45</x:v>
      </x:c>
      <x:c r="C13" s="289" t="str">
        <x:v>Mac Studio原生10G RJ45</x:v>
      </x:c>
      <x:c r="D13" s="289" t="str">
        <x:v>Cat6A短线/永久支线</x:v>
      </x:c>
      <x:c r="E13" s="289" t="str">
        <x:v>10G，PoE关闭</x:v>
      </x:c>
      <x:c r="F13" s="289" t="str">
        <x:v>本地终端线</x:v>
      </x:c>
      <x:c r="G13" s="289" t="str">
        <x:v>Mac原生10G RJ45直连，不买铜模块</x:v>
      </x:c>
      <x:c r="H13" s="321"/>
      <x:c r="I13" s="321"/>
      <x:c r="J13" s="312"/>
      <x:c r="K13" s="312"/>
      <x:c r="L13" s="289" t="str">
        <x:v>待复尺</x:v>
      </x:c>
      <x:c r="M13" s="289" t="str">
        <x:v>L-04</x:v>
      </x:c>
    </x:row>
    <x:row r="14" ht="27" customHeight="1">
      <x:c r="A14" s="289" t="str">
        <x:v>LOCAL-J3455</x:v>
      </x:c>
      <x:c r="B14" s="289" t="str">
        <x:v>工作室 ES210 S-05</x:v>
      </x:c>
      <x:c r="C14" s="289" t="str">
        <x:v>已有J3455</x:v>
      </x:c>
      <x:c r="D14" s="289" t="str">
        <x:v>Cat6A短线/永久支线</x:v>
      </x:c>
      <x:c r="E14" s="289" t="str">
        <x:v>现1G，网卡升级后2.5G</x:v>
      </x:c>
      <x:c r="F14" s="289" t="str">
        <x:v>本地终端线</x:v>
      </x:c>
      <x:c r="G14" s="289" t="str">
        <x:v>复用同端口；HA/影音NAS关键设备不接AP下联</x:v>
      </x:c>
      <x:c r="H14" s="321"/>
      <x:c r="I14" s="321"/>
      <x:c r="J14" s="312"/>
      <x:c r="K14" s="312"/>
      <x:c r="L14" s="289" t="str">
        <x:v>待复尺</x:v>
      </x:c>
      <x:c r="M14" s="289" t="str">
        <x:v>L-05</x:v>
      </x:c>
    </x:row>
    <x:row r="15" ht="27" customHeight="1">
      <x:c r="A15" s="289" t="str">
        <x:v>LOCAL-PC1</x:v>
      </x:c>
      <x:c r="B15" s="289" t="str">
        <x:v>工作室 ES210 S-02</x:v>
      </x:c>
      <x:c r="C15" s="289" t="str">
        <x:v>已有PC 1</x:v>
      </x:c>
      <x:c r="D15" s="289" t="str">
        <x:v>Cat6A短线/永久支线</x:v>
      </x:c>
      <x:c r="E15" s="289" t="str">
        <x:v>现1G，计划2.5G</x:v>
      </x:c>
      <x:c r="F15" s="289" t="str">
        <x:v>本地终端线</x:v>
      </x:c>
      <x:c r="G15" s="289" t="str">
        <x:v>网卡升级不影响预埋标准</x:v>
      </x:c>
      <x:c r="H15" s="321"/>
      <x:c r="I15" s="321"/>
      <x:c r="J15" s="312"/>
      <x:c r="K15" s="312"/>
      <x:c r="L15" s="289" t="str">
        <x:v>待复尺</x:v>
      </x:c>
      <x:c r="M15" s="289" t="str">
        <x:v>L-06</x:v>
      </x:c>
    </x:row>
    <x:row r="16" ht="27" customHeight="1">
      <x:c r="A16" s="289" t="str">
        <x:v>LOCAL-PC2</x:v>
      </x:c>
      <x:c r="B16" s="289" t="str">
        <x:v>工作室 ES210 S-03</x:v>
      </x:c>
      <x:c r="C16" s="289" t="str">
        <x:v>已有PC 2</x:v>
      </x:c>
      <x:c r="D16" s="289" t="str">
        <x:v>Cat6A短线/永久支线</x:v>
      </x:c>
      <x:c r="E16" s="289" t="str">
        <x:v>现1G，计划2.5G</x:v>
      </x:c>
      <x:c r="F16" s="289" t="str">
        <x:v>本地终端线</x:v>
      </x:c>
      <x:c r="G16" s="289" t="str">
        <x:v>网卡升级不影响预埋标准</x:v>
      </x:c>
      <x:c r="H16" s="321"/>
      <x:c r="I16" s="321"/>
      <x:c r="J16" s="312"/>
      <x:c r="K16" s="312"/>
      <x:c r="L16" s="289" t="str">
        <x:v>待复尺</x:v>
      </x:c>
      <x:c r="M16" s="289" t="str">
        <x:v>L-07</x:v>
      </x:c>
    </x:row>
    <x:row r="17" ht="27" customHeight="1">
      <x:c r="A17" s="289" t="str">
        <x:v>LOCAL-MINI</x:v>
      </x:c>
      <x:c r="B17" s="289" t="str">
        <x:v>工作室 ES210 S-04</x:v>
      </x:c>
      <x:c r="C17" s="289" t="str">
        <x:v>已有Mac mini M1</x:v>
      </x:c>
      <x:c r="D17" s="289" t="str">
        <x:v>Cat6A短线/永久支线</x:v>
      </x:c>
      <x:c r="E17" s="289" t="str">
        <x:v>1G，PoE关闭</x:v>
      </x:c>
      <x:c r="F17" s="289" t="str">
        <x:v>本地终端线</x:v>
      </x:c>
      <x:c r="G17" s="289" t="str">
        <x:v>Hermes运行主机；不与HA共宿主</x:v>
      </x:c>
      <x:c r="H17" s="321"/>
      <x:c r="I17" s="321"/>
      <x:c r="J17" s="312"/>
      <x:c r="K17" s="312"/>
      <x:c r="L17" s="289" t="str">
        <x:v>待复尺</x:v>
      </x:c>
      <x:c r="M17" s="289" t="str">
        <x:v>L-08</x:v>
      </x:c>
    </x:row>
    <x:row r="18" ht="27" customHeight="1">
      <x:c r="A18" s="289" t="str">
        <x:v>LOCAL-ATV</x:v>
      </x:c>
      <x:c r="B18" s="289" t="str">
        <x:v>工作室AP千兆口1（或ES210 S-06）</x:v>
      </x:c>
      <x:c r="C18" s="289" t="str">
        <x:v>已有Apple TV 4K旧款</x:v>
      </x:c>
      <x:c r="D18" s="289" t="str">
        <x:v>Cat6A短线/永久支线</x:v>
      </x:c>
      <x:c r="E18" s="289" t="str">
        <x:v>按实机，PoE关闭</x:v>
      </x:c>
      <x:c r="F18" s="289" t="str">
        <x:v>本地终端线</x:v>
      </x:c>
      <x:c r="G18" s="289" t="str">
        <x:v>本表默认预留AP下联接法，直连ES210为互斥备选；不重复采购</x:v>
      </x:c>
      <x:c r="H18" s="321"/>
      <x:c r="I18" s="321"/>
      <x:c r="J18" s="312"/>
      <x:c r="K18" s="312"/>
      <x:c r="L18" s="289" t="str">
        <x:v>待复尺</x:v>
      </x:c>
      <x:c r="M18" s="289" t="str">
        <x:v>L-09</x:v>
      </x:c>
    </x:row>
    <x:row r="19" ht="27" customHeight="1">
      <x:c r="A19" s="289" t="str">
        <x:v>LOCAL-PROJ</x:v>
      </x:c>
      <x:c r="B19" s="289" t="str">
        <x:v>工作室AP千兆口2（或ES210 S-07）</x:v>
      </x:c>
      <x:c r="C19" s="289" t="str">
        <x:v>已有米家激光投影仪</x:v>
      </x:c>
      <x:c r="D19" s="289" t="str">
        <x:v>Cat6A短线/永久支线</x:v>
      </x:c>
      <x:c r="E19" s="289" t="str">
        <x:v>按实机，PoE关闭</x:v>
      </x:c>
      <x:c r="F19" s="289" t="str">
        <x:v>本地终端线</x:v>
      </x:c>
      <x:c r="G19" s="289" t="str">
        <x:v>准确投影位置/接口待核；只复用已有米家设备</x:v>
      </x:c>
      <x:c r="H19" s="321"/>
      <x:c r="I19" s="321"/>
      <x:c r="J19" s="312"/>
      <x:c r="K19" s="312"/>
      <x:c r="L19" s="289" t="str">
        <x:v>待复尺</x:v>
      </x:c>
      <x:c r="M19" s="289" t="str">
        <x:v>L-10</x:v>
      </x:c>
    </x:row>
    <x:row r="20" ht="27" customHeight="1">
      <x:c r="A20" s="289" t="str">
        <x:v>LOCAL-TV</x:v>
      </x:c>
      <x:c r="B20" s="289" t="str">
        <x:v>大厅 ES206 H-03</x:v>
      </x:c>
      <x:c r="C20" s="289" t="str">
        <x:v>大厅电视位</x:v>
      </x:c>
      <x:c r="D20" s="289" t="str">
        <x:v>Cat6A短线/永久支线</x:v>
      </x:c>
      <x:c r="E20" s="289" t="str">
        <x:v>按实机，PoE关闭</x:v>
      </x:c>
      <x:c r="F20" s="289" t="str">
        <x:v>本地终端线</x:v>
      </x:c>
      <x:c r="G20" s="289" t="str">
        <x:v>数量1处网络点；不代表买新电视</x:v>
      </x:c>
      <x:c r="H20" s="321"/>
      <x:c r="I20" s="321"/>
      <x:c r="J20" s="312"/>
      <x:c r="K20" s="312"/>
      <x:c r="L20" s="289" t="str">
        <x:v>待复尺</x:v>
      </x:c>
      <x:c r="M20" s="289" t="str">
        <x:v>L-11</x:v>
      </x:c>
    </x:row>
    <x:row r="21" ht="27" customHeight="1">
      <x:c r="A21" s="289" t="str">
        <x:v>LOCAL-MASTER-DOWN</x:v>
      </x:c>
      <x:c r="B21" s="289" t="str">
        <x:v>主卧AP下联1×2.5G+3×1G</x:v>
      </x:c>
      <x:c r="C21" s="289" t="str">
        <x:v>主卧电脑/墙面数据口</x:v>
      </x:c>
      <x:c r="D21" s="289" t="str">
        <x:v>本地短线/支线，数量待定</x:v>
      </x:c>
      <x:c r="E21" s="289" t="str">
        <x:v>按AP下联端口</x:v>
      </x:c>
      <x:c r="F21" s="289" t="str">
        <x:v>按需支线</x:v>
      </x:c>
      <x:c r="G21" s="289" t="str">
        <x:v>一个2.5G下联，其余3个1G；AP故障影响有线设备</x:v>
      </x:c>
      <x:c r="H21" s="321"/>
      <x:c r="I21" s="321"/>
      <x:c r="J21" s="312"/>
      <x:c r="K21" s="312"/>
      <x:c r="L21" s="289" t="str">
        <x:v>待定点位</x:v>
      </x:c>
      <x:c r="M21" s="289" t="str">
        <x:v>R-01</x:v>
      </x:c>
    </x:row>
    <x:row r="22" ht="27" customHeight="1">
      <x:c r="A22" s="289" t="str">
        <x:v>LOCAL-SECOND-DOWN</x:v>
      </x:c>
      <x:c r="B22" s="289" t="str">
        <x:v>次卧 RJ45 墙口；暂无 AP 下联</x:v>
      </x:c>
      <x:c r="C22" s="289" t="str">
        <x:v>可选已有 TL-7DR3630 2.5G 口 / 未来 Omada AP</x:v>
      </x:c>
      <x:c r="D22" s="289" t="str">
        <x:v>本地短线/支线，数量待定</x:v>
      </x:c>
      <x:c r="E22" s="289" t="str">
        <x:v>按AP下联端口</x:v>
      </x:c>
      <x:c r="F22" s="289" t="str">
        <x:v>后续需要时启用；不计首期 AP 采购</x:v>
      </x:c>
      <x:c r="G22" s="289" t="str">
        <x:v>墙口若远离AP，需规划可维护回走路径</x:v>
      </x:c>
      <x:c r="H22" s="321"/>
      <x:c r="I22" s="321"/>
      <x:c r="J22" s="312"/>
      <x:c r="K22" s="312"/>
      <x:c r="L22" s="289" t="str">
        <x:v>待定点位</x:v>
      </x:c>
      <x:c r="M22" s="289" t="str">
        <x:v>R-02</x:v>
      </x:c>
    </x:row>
    <x:row r="23" ht="36" customHeight="1">
      <x:c r="A23" s="289" t="str">
        <x:v>NAS-LOCAL-10G</x:v>
      </x:c>
      <x:c r="B23" s="289" t="str">
        <x:v>工作室ES210XPP 10G SFP+</x:v>
      </x:c>
      <x:c r="C23" s="289" t="str">
        <x:v>未来NAS自带10G SFP+</x:v>
      </x:c>
      <x:c r="D23" s="289" t="str">
        <x:v>DAC或模块+光纤，入住后选</x:v>
      </x:c>
      <x:c r="E23" s="289" t="str">
        <x:v>10G，本地</x:v>
      </x:c>
      <x:c r="F23" s="289" t="str">
        <x:v>后置，非墙内线</x:v>
      </x:c>
      <x:c r="G23" s="289" t="str">
        <x:v>NAS在交换机旁；不采购NAS网卡，不按每房铺光纤</x:v>
      </x:c>
      <x:c r="H23" s="321"/>
      <x:c r="I23" s="321"/>
      <x:c r="J23" s="312"/>
      <x:c r="K23" s="312"/>
      <x:c r="L23" s="289" t="str">
        <x:v>后置</x:v>
      </x:c>
      <x:c r="M23" s="289" t="str">
        <x:v>F-01</x:v>
      </x:c>
    </x:row>
  </x:sheetData>
  <x:mergeCells>
    <x:mergeCell ref="A1:M1"/>
    <x:mergeCell ref="A2:M3"/>
  </x:mergeCells>
  <x:conditionalFormatting sqref="L6:L23">
    <x:cfRule type="expression" dxfId="10" priority="1">
      <x:formula>OR($L6="已确定",$L6="已确认",$L6="已验收",$L6="已有/复用")</x:formula>
    </x:cfRule>
    <x:cfRule type="expression" dxfId="11" priority="2">
      <x:formula>OR($L6="待确认",$L6="待复尺",$L6="待核验",$L6="暂选",$L6="暂定")</x:formula>
    </x:cfRule>
    <x:cfRule type="expression" dxfId="12" priority="3">
      <x:formula>OR($L6="入住后",$L6="后置",$L6="可选")</x:formula>
    </x:cfRule>
    <x:cfRule type="expression" dxfId="13" priority="4">
      <x:formula>OR($L6="不采购",$L6="不需要")</x:formula>
    </x:cfRule>
    <x:cfRule type="expression" dxfId="14" priority="5">
      <x:formula>OR($L6="风险",$L6="有遗留问题")</x:formula>
    </x:cfRule>
  </x:conditionalFormatting>
  <x:dataValidations count="1">
    <x:dataValidation type="list" sqref="L6:L23">
      <x:formula1>"待复尺,待定点位,已放管,已穿线,已端接,已认证,后置"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6356899fb24e8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48" hidden="0" customWidth="1"/>
    <x:col min="5" max="5" width="16" hidden="0" customWidth="1"/>
    <x:col min="6" max="6" width="18" hidden="0" customWidth="1"/>
    <x:col min="7" max="7" width="18" hidden="0" customWidth="1"/>
    <x:col min="8" max="8" width="22" hidden="0" customWidth="1"/>
    <x:col min="9" max="9" width="40" hidden="0" customWidth="1"/>
    <x:col min="10" max="10" width="18" hidden="0" customWidth="1"/>
    <x:col min="11" max="11" width="26" hidden="0" customWidth="1"/>
  </x:cols>
  <x:sheetData>
    <x:row r="1" ht="32" customHeight="1">
      <x:c r="A1" s="338" t="str">
        <x:v>全屋网络拓扑、端口映射与配置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  <x:c r="L1" s="254"/>
    </x:row>
    <x:row r="2" ht="22" customHeight="1">
      <x:c r="A2" s="255" t="str">
        <x:v>3A用中央ES206XPP；3B改Fusion PoE网关并取消中央交换机。四主干仍2.5G；工作室双10G本地交换。交换机直接给AP供电，无注入器。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</x:row>
    <x:row r="4" ht="28" customHeight="1">
      <x:c r="A4" s="265" t="str">
        <x:v>连接路径</x:v>
      </x:c>
      <x:c r="B4" s="266"/>
      <x:c r="C4" s="266"/>
      <x:c r="D4" s="266"/>
      <x:c r="E4" s="266"/>
      <x:c r="F4" s="266"/>
      <x:c r="G4" s="266"/>
      <x:c r="H4" s="266"/>
      <x:c r="I4" s="267"/>
      <x:c r="J4" s="262"/>
      <x:c r="K4" s="262"/>
      <x:c r="L4" s="262"/>
    </x:row>
    <x:row r="5" ht="27" customHeight="1">
      <x:c r="A5" s="19" t="str">
        <x:v>编号</x:v>
      </x:c>
      <x:c r="B5" s="20" t="str">
        <x:v>区域</x:v>
      </x:c>
      <x:c r="C5" s="20" t="str">
        <x:v>上游</x:v>
      </x:c>
      <x:c r="D5" s="20" t="str">
        <x:v>下游</x:v>
      </x:c>
      <x:c r="E5" s="20" t="str">
        <x:v>目标速率/供电</x:v>
      </x:c>
      <x:c r="F5" s="20" t="str">
        <x:v>介质/路径</x:v>
      </x:c>
      <x:c r="G5" s="20" t="str">
        <x:v>设计说明</x:v>
      </x:c>
      <x:c r="H5" s="21" t="str">
        <x:v>边界</x:v>
      </x:c>
      <x:c r="I5" s="262"/>
      <x:c r="J5" s="262"/>
      <x:c r="K5" s="262"/>
      <x:c r="L5" s="262"/>
    </x:row>
    <x:row r="6" ht="27" customHeight="1">
      <x:c r="A6" s="283" t="str">
        <x:v>P-01</x:v>
      </x:c>
      <x:c r="B6" s="283" t="str">
        <x:v>运营商</x:v>
      </x:c>
      <x:c r="C6" s="283" t="str">
        <x:v>入户光纤</x:v>
      </x:c>
      <x:c r="D6" s="283" t="str">
        <x:v>运营商光猫/ONT</x:v>
      </x:c>
      <x:c r="E6" s="283" t="str">
        <x:v>PON/光纤</x:v>
      </x:c>
      <x:c r="F6" s="283" t="str">
        <x:v>运营商线路</x:v>
      </x:c>
      <x:c r="G6" s="283" t="str">
        <x:v>光猫保留，桥接优先</x:v>
      </x:c>
      <x:c r="H6" s="283" t="str">
        <x:v>Fusion不能代替普通光猫</x:v>
      </x:c>
      <x:c r="I6" s="262"/>
      <x:c r="J6" s="262"/>
      <x:c r="K6" s="262"/>
      <x:c r="L6" s="262"/>
    </x:row>
    <x:row r="7" ht="42" customHeight="1">
      <x:c r="A7" s="289" t="str">
        <x:v>P-02</x:v>
      </x:c>
      <x:c r="B7" s="289" t="str">
        <x:v>中央</x:v>
      </x:c>
      <x:c r="C7" s="289" t="str">
        <x:v>光猫/ONT</x:v>
      </x:c>
      <x:c r="D7" s="289" t="str">
        <x:v>Fusion 2.5G AC</x:v>
      </x:c>
      <x:c r="E7" s="289" t="str">
        <x:v>2.5G WAN/LAN</x:v>
      </x:c>
      <x:c r="F7" s="289" t="str">
        <x:v>Cat6A/短跳线</x:v>
      </x:c>
      <x:c r="G7" s="289" t="str">
        <x:v>AC=主路由器/网关，做NAT/防火墙/DHCP</x:v>
      </x:c>
      <x:c r="H7" s="289" t="str">
        <x:v>无Wi-Fi/PoE/SFP</x:v>
      </x:c>
      <x:c r="I7" s="262"/>
      <x:c r="J7" s="262"/>
      <x:c r="K7" s="262"/>
      <x:c r="L7" s="262"/>
    </x:row>
    <x:row r="8" ht="40" customHeight="1">
      <x:c r="A8" s="289" t="str">
        <x:v>P-03</x:v>
      </x:c>
      <x:c r="B8" s="289" t="str">
        <x:v>中央</x:v>
      </x:c>
      <x:c r="C8" s="289" t="str">
        <x:v>Fusion LAN</x:v>
      </x:c>
      <x:c r="D8" s="289" t="str">
        <x:v>3A中央ES206XPP / 3B无此链路</x:v>
      </x:c>
      <x:c r="E8" s="289" t="str">
        <x:v>2.5G铜口</x:v>
      </x:c>
      <x:c r="F8" s="289" t="str">
        <x:v>中央短跳线</x:v>
      </x:c>
      <x:c r="G8" s="289" t="str">
        <x:v>Omada控制器内置，不另占物理端口</x:v>
      </x:c>
      <x:c r="H8" s="289" t="str">
        <x:v>3A中央五铜口满；3B网关四主干直连</x:v>
      </x:c>
      <x:c r="I8" s="262"/>
      <x:c r="J8" s="262"/>
      <x:c r="K8" s="262"/>
      <x:c r="L8" s="262"/>
    </x:row>
    <x:row r="9" ht="36" customHeight="1">
      <x:c r="A9" s="289" t="str">
        <x:v>P-04</x:v>
      </x:c>
      <x:c r="B9" s="289" t="str">
        <x:v>中央</x:v>
      </x:c>
      <x:c r="C9" s="289" t="str">
        <x:v>3A中央C-02 / 3B Fusion PoE LAN1</x:v>
      </x:c>
      <x:c r="D9" s="289" t="str">
        <x:v>AP-MASTER EAP775-Wall</x:v>
      </x:c>
      <x:c r="E9" s="289" t="str">
        <x:v>2.5G + PoE</x:v>
      </x:c>
      <x:c r="F9" s="289" t="str">
        <x:v>TRUNK-MASTER Cat6A</x:v>
      </x:c>
      <x:c r="G9" s="289" t="str">
        <x:v>直达主卧AP</x:v>
      </x:c>
      <x:c r="H9" s="289" t="str">
        <x:v>不经过房间箱</x:v>
      </x:c>
      <x:c r="I9" s="262"/>
      <x:c r="J9" s="262"/>
      <x:c r="K9" s="262"/>
      <x:c r="L9" s="262"/>
    </x:row>
    <x:row r="10" ht="36" customHeight="1">
      <x:c r="A10" s="289" t="str">
        <x:v>P-05</x:v>
      </x:c>
      <x:c r="B10" s="289" t="str">
        <x:v>中央</x:v>
      </x:c>
      <x:c r="C10" s="289" t="str">
        <x:v>3A中央C-03 / 3B Fusion PoE LAN2</x:v>
      </x:c>
      <x:c r="D10" s="289" t="str">
        <x:v>次卧 RJ45 墙口；可选已有 TL-7DR3630</x:v>
      </x:c>
      <x:c r="E10" s="289" t="str">
        <x:v>2.5G 目标；默认关闭 PoE</x:v>
      </x:c>
      <x:c r="F10" s="289" t="str">
        <x:v>TRUNK-SECOND Cat6A</x:v>
      </x:c>
      <x:c r="G10" s="289" t="str">
        <x:v>次卧 Cat6A 认证；旧路由器仅有线 AP 模式</x:v>
      </x:c>
      <x:c r="H10" s="289" t="str">
        <x:v>不经过房间箱</x:v>
      </x:c>
      <x:c r="I10" s="262"/>
      <x:c r="J10" s="262"/>
      <x:c r="K10" s="262"/>
      <x:c r="L10" s="262"/>
    </x:row>
    <x:row r="11" ht="40" customHeight="1">
      <x:c r="A11" s="289" t="str">
        <x:v>P-06</x:v>
      </x:c>
      <x:c r="B11" s="289" t="str">
        <x:v>中央</x:v>
      </x:c>
      <x:c r="C11" s="289" t="str">
        <x:v>3A中央C-04 / 3B Fusion PoE LAN3</x:v>
      </x:c>
      <x:c r="D11" s="289" t="str">
        <x:v>工作室ES210XPP-M2</x:v>
      </x:c>
      <x:c r="E11" s="289" t="str">
        <x:v>2.5G铜口</x:v>
      </x:c>
      <x:c r="F11" s="289" t="str">
        <x:v>TRUNK-STUDIO Cat6A</x:v>
      </x:c>
      <x:c r="G11" s="289" t="str">
        <x:v>工作室本地10G设备与终端集中在该交换机</x:v>
      </x:c>
      <x:c r="H11" s="289" t="str">
        <x:v>单台交换机，不增加第二台</x:v>
      </x:c>
      <x:c r="I11" s="262"/>
      <x:c r="J11" s="262"/>
      <x:c r="K11" s="262"/>
      <x:c r="L11" s="262"/>
    </x:row>
    <x:row r="12" ht="40" customHeight="1">
      <x:c r="A12" s="289" t="str">
        <x:v>P-07</x:v>
      </x:c>
      <x:c r="B12" s="289" t="str">
        <x:v>中央</x:v>
      </x:c>
      <x:c r="C12" s="289" t="str">
        <x:v>3A中央C-05 / 3B Fusion PoE LAN4</x:v>
      </x:c>
      <x:c r="D12" s="289" t="str">
        <x:v>大厅ES206XPP-M2</x:v>
      </x:c>
      <x:c r="E12" s="289" t="str">
        <x:v>2.5G铜口</x:v>
      </x:c>
      <x:c r="F12" s="289" t="str">
        <x:v>TRUNK-HALL Cat6A</x:v>
      </x:c>
      <x:c r="G12" s="289" t="str">
        <x:v>大厅吊顶AP、电视、网关/协调器</x:v>
      </x:c>
      <x:c r="H12" s="289" t="str">
        <x:v>本地供电，不靠中央PoE穿透</x:v>
      </x:c>
      <x:c r="I12" s="262"/>
      <x:c r="J12" s="262"/>
      <x:c r="K12" s="262"/>
      <x:c r="L12" s="262"/>
    </x:row>
    <x:row r="13" ht="36" customHeight="1">
      <x:c r="A13" s="289" t="str">
        <x:v>P-08</x:v>
      </x:c>
      <x:c r="B13" s="289" t="str">
        <x:v>工作室</x:v>
      </x:c>
      <x:c r="C13" s="289" t="str">
        <x:v>ES210XPP 10G RJ45</x:v>
      </x:c>
      <x:c r="D13" s="289" t="str">
        <x:v>Mac Studio</x:v>
      </x:c>
      <x:c r="E13" s="289" t="str">
        <x:v>10G RJ45</x:v>
      </x:c>
      <x:c r="F13" s="289" t="str">
        <x:v>Cat6A短链路</x:v>
      </x:c>
      <x:c r="G13" s="289" t="str">
        <x:v>原生以太网口；模型/剪辑</x:v>
      </x:c>
      <x:c r="H13" s="289" t="str">
        <x:v>Mac原生10G铜口，不用模块</x:v>
      </x:c>
      <x:c r="I13" s="262"/>
      <x:c r="J13" s="262"/>
      <x:c r="K13" s="262"/>
      <x:c r="L13" s="262"/>
    </x:row>
    <x:row r="14" ht="40" customHeight="1">
      <x:c r="A14" s="289" t="str">
        <x:v>P-09</x:v>
      </x:c>
      <x:c r="B14" s="289" t="str">
        <x:v>工作室</x:v>
      </x:c>
      <x:c r="C14" s="289" t="str">
        <x:v>ES210XPP 10G SFP+</x:v>
      </x:c>
      <x:c r="D14" s="289" t="str">
        <x:v>未来高速NAS</x:v>
      </x:c>
      <x:c r="E14" s="289" t="str">
        <x:v>10G SFP+</x:v>
      </x:c>
      <x:c r="F14" s="289" t="str">
        <x:v>DAC或模块+光纤，待实物</x:v>
      </x:c>
      <x:c r="G14" s="289" t="str">
        <x:v>NAS自带SFP+；入住后再选</x:v>
      </x:c>
      <x:c r="H14" s="289" t="str">
        <x:v>不买NAS网卡、不埋DAC</x:v>
      </x:c>
      <x:c r="I14" s="262"/>
      <x:c r="J14" s="262"/>
      <x:c r="K14" s="262"/>
      <x:c r="L14" s="262"/>
    </x:row>
    <x:row r="15" ht="42" customHeight="1">
      <x:c r="A15" s="289" t="str">
        <x:v>P-10</x:v>
      </x:c>
      <x:c r="B15" s="289" t="str">
        <x:v>工作室</x:v>
      </x:c>
      <x:c r="C15" s="289" t="str">
        <x:v>ES210 2.5G</x:v>
      </x:c>
      <x:c r="D15" s="289" t="str">
        <x:v>PC×2/Mac Mini/J3455</x:v>
      </x:c>
      <x:c r="E15" s="289" t="str">
        <x:v>1G/2.5G按实机</x:v>
      </x:c>
      <x:c r="F15" s="289" t="str">
        <x:v>Cat6A/跳线</x:v>
      </x:c>
      <x:c r="G15" s="289" t="str">
        <x:v>J3455后续升级2.5G；关键主机不接AP下联</x:v>
      </x:c>
      <x:c r="H15" s="289" t="str">
        <x:v>PC升级可分期</x:v>
      </x:c>
      <x:c r="I15" s="262"/>
      <x:c r="J15" s="262"/>
      <x:c r="K15" s="262"/>
      <x:c r="L15" s="262"/>
    </x:row>
    <x:row r="16" ht="40" customHeight="1">
      <x:c r="A16" s="289" t="str">
        <x:v>P-11</x:v>
      </x:c>
      <x:c r="B16" s="289" t="str">
        <x:v>工作室</x:v>
      </x:c>
      <x:c r="C16" s="289" t="str">
        <x:v>ES210XPP PoE口</x:v>
      </x:c>
      <x:c r="D16" s="289" t="str">
        <x:v>AP-STUDIO EAP775-Wall</x:v>
      </x:c>
      <x:c r="E16" s="289" t="str">
        <x:v>2.5G + 802.3at</x:v>
      </x:c>
      <x:c r="F16" s="289" t="str">
        <x:v>本地Cat6A</x:v>
      </x:c>
      <x:c r="G16" s="289" t="str">
        <x:v>AP有线回程；不使用其PoE Out</x:v>
      </x:c>
      <x:c r="H16" s="289" t="str">
        <x:v>按at模式规划，PoE Out关闭</x:v>
      </x:c>
      <x:c r="I16" s="262"/>
      <x:c r="J16" s="262"/>
      <x:c r="K16" s="262"/>
      <x:c r="L16" s="262"/>
    </x:row>
    <x:row r="17" ht="42" customHeight="1">
      <x:c r="A17" s="289" t="str">
        <x:v>P-12</x:v>
      </x:c>
      <x:c r="B17" s="289" t="str">
        <x:v>工作室</x:v>
      </x:c>
      <x:c r="C17" s="289" t="str">
        <x:v>AP-STUDIO下联1G（可选）</x:v>
      </x:c>
      <x:c r="D17" s="289" t="str">
        <x:v>已有Apple TV 4K + 米家激光投影仪</x:v>
      </x:c>
      <x:c r="E17" s="289" t="str">
        <x:v>按设备实机</x:v>
      </x:c>
      <x:c r="F17" s="289" t="str">
        <x:v>短跳线</x:v>
      </x:c>
      <x:c r="G17" s="289" t="str">
        <x:v>可改接AP下联释放ES210端口；也可直连交换机</x:v>
      </x:c>
      <x:c r="H17" s="289" t="str">
        <x:v>不新增采购</x:v>
      </x:c>
      <x:c r="I17" s="262"/>
      <x:c r="J17" s="262"/>
      <x:c r="K17" s="262"/>
      <x:c r="L17" s="262"/>
    </x:row>
    <x:row r="18" ht="36" customHeight="1">
      <x:c r="A18" s="289" t="str">
        <x:v>P-13</x:v>
      </x:c>
      <x:c r="B18" s="289" t="str">
        <x:v>大厅</x:v>
      </x:c>
      <x:c r="C18" s="289" t="str">
        <x:v>ES206XPP PoE口</x:v>
      </x:c>
      <x:c r="D18" s="289" t="str">
        <x:v>AP-HALL EAP772</x:v>
      </x:c>
      <x:c r="E18" s="289" t="str">
        <x:v>2.5G + PoE+</x:v>
      </x:c>
      <x:c r="F18" s="289" t="str">
        <x:v>本地Cat6A</x:v>
      </x:c>
      <x:c r="G18" s="289" t="str">
        <x:v>吊顶可见面安装</x:v>
      </x:c>
      <x:c r="H18" s="289" t="str">
        <x:v>EAP772最大25.4W；按at端口PSE上限30W规划</x:v>
      </x:c>
      <x:c r="I18" s="262"/>
      <x:c r="J18" s="262"/>
      <x:c r="K18" s="262"/>
      <x:c r="L18" s="262"/>
    </x:row>
    <x:row r="19" ht="27" customHeight="1">
      <x:c r="A19" s="289" t="str">
        <x:v>P-14</x:v>
      </x:c>
      <x:c r="B19" s="289" t="str">
        <x:v>大厅</x:v>
      </x:c>
      <x:c r="C19" s="289" t="str">
        <x:v>ES206 2.5G</x:v>
      </x:c>
      <x:c r="D19" s="289" t="str">
        <x:v>大厅电视</x:v>
      </x:c>
      <x:c r="E19" s="289" t="str">
        <x:v>按实机</x:v>
      </x:c>
      <x:c r="F19" s="289" t="str">
        <x:v>Cat6A/跳线</x:v>
      </x:c>
      <x:c r="G19" s="289" t="str">
        <x:v>有线接入；电视不是PoE</x:v>
      </x:c>
      <x:c r="H19" s="289" t="str">
        <x:v>已有/后续按设备</x:v>
      </x:c>
      <x:c r="I19" s="262"/>
      <x:c r="J19" s="262"/>
      <x:c r="K19" s="262"/>
      <x:c r="L19" s="262"/>
    </x:row>
    <x:row r="20" ht="40" customHeight="1">
      <x:c r="A20" s="289" t="str">
        <x:v>P-15</x:v>
      </x:c>
      <x:c r="B20" s="289" t="str">
        <x:v>大厅</x:v>
      </x:c>
      <x:c r="C20" s="289" t="str">
        <x:v>ES206 2.5G</x:v>
      </x:c>
      <x:c r="D20" s="289" t="str">
        <x:v>HALL-IOT-GW墙口</x:v>
      </x:c>
      <x:c r="E20" s="289" t="str">
        <x:v>2.5G数据；网关独立供电</x:v>
      </x:c>
      <x:c r="F20" s="289" t="str">
        <x:v>本地Cat6A</x:v>
      </x:c>
      <x:c r="G20" s="289" t="str">
        <x:v>Aqara有线网关或HA以太网协调器二选一</x:v>
      </x:c>
      <x:c r="H20" s="289" t="str">
        <x:v>需PoE时另配，不用AP转供</x:v>
      </x:c>
      <x:c r="I20" s="262"/>
      <x:c r="J20" s="262"/>
      <x:c r="K20" s="262"/>
      <x:c r="L20" s="262"/>
    </x:row>
    <x:row r="21" ht="24" customHeight="1">
      <x:c r="A21" s="262"/>
      <x:c r="B21" s="262"/>
      <x:c r="C21" s="262"/>
      <x:c r="D21" s="262"/>
      <x:c r="E21" s="262"/>
      <x:c r="F21" s="262"/>
      <x:c r="G21" s="262"/>
      <x:c r="H21" s="262"/>
      <x:c r="I21" s="262"/>
      <x:c r="J21" s="262"/>
      <x:c r="K21" s="262"/>
      <x:c r="L21" s="262"/>
    </x:row>
    <x:row r="22" ht="24" customHeight="1">
      <x:c r="A22" s="262"/>
      <x:c r="B22" s="262"/>
      <x:c r="C22" s="262"/>
      <x:c r="D22" s="262"/>
      <x:c r="E22" s="262"/>
      <x:c r="F22" s="262"/>
      <x:c r="G22" s="262"/>
      <x:c r="H22" s="262"/>
      <x:c r="I22" s="262"/>
      <x:c r="J22" s="262"/>
      <x:c r="K22" s="262"/>
      <x:c r="L22" s="262"/>
    </x:row>
    <x:row r="23" ht="28" customHeight="1">
      <x:c r="A23" s="265" t="str">
        <x:v>端口和PoE预算</x:v>
      </x:c>
      <x:c r="B23" s="266"/>
      <x:c r="C23" s="266"/>
      <x:c r="D23" s="266"/>
      <x:c r="E23" s="266"/>
      <x:c r="F23" s="266"/>
      <x:c r="G23" s="266"/>
      <x:c r="H23" s="266"/>
      <x:c r="I23" s="266"/>
      <x:c r="J23" s="266"/>
      <x:c r="K23" s="267"/>
      <x:c r="L23" s="262"/>
    </x:row>
    <x:row r="24" ht="27" customHeight="1">
      <x:c r="A24" s="19" t="str">
        <x:v>交换机</x:v>
      </x:c>
      <x:c r="B24" s="20" t="str">
        <x:v>逻辑标签</x:v>
      </x:c>
      <x:c r="C24" s="20" t="str">
        <x:v>用途</x:v>
      </x:c>
      <x:c r="D24" s="20" t="str">
        <x:v>速率</x:v>
      </x:c>
      <x:c r="E24" s="20" t="str">
        <x:v>PoE</x:v>
      </x:c>
      <x:c r="F24" s="21" t="str">
        <x:v>说明</x:v>
      </x:c>
      <x:c r="G24" s="262"/>
      <x:c r="H24" s="262"/>
      <x:c r="I24" s="262"/>
      <x:c r="J24" s="262"/>
      <x:c r="K24" s="262"/>
      <x:c r="L24" s="262"/>
    </x:row>
    <x:row r="25" ht="36" customHeight="1">
      <x:c r="A25" s="283" t="str">
        <x:v>中央ES206XPP（仅3A）</x:v>
      </x:c>
      <x:c r="B25" s="283" t="str">
        <x:v>C-01</x:v>
      </x:c>
      <x:c r="C25" s="283" t="str">
        <x:v>Fusion LAN</x:v>
      </x:c>
      <x:c r="D25" s="283" t="str">
        <x:v>2.5G</x:v>
      </x:c>
      <x:c r="E25" s="283" t="str">
        <x:v>无PoE</x:v>
      </x:c>
      <x:c r="F25" s="283" t="str">
        <x:v>5/5铜口占满；10G SFP+未使用</x:v>
      </x:c>
      <x:c r="G25" s="262"/>
      <x:c r="H25" s="262"/>
      <x:c r="I25" s="262"/>
      <x:c r="J25" s="262"/>
      <x:c r="K25" s="262"/>
      <x:c r="L25" s="262"/>
    </x:row>
    <x:row r="26" ht="36" customHeight="1">
      <x:c r="A26" s="289" t="str">
        <x:v>中央ES206XPP（仅3A）</x:v>
      </x:c>
      <x:c r="B26" s="289" t="str">
        <x:v>C-02</x:v>
      </x:c>
      <x:c r="C26" s="289" t="str">
        <x:v>主卧EAP775-Wall</x:v>
      </x:c>
      <x:c r="D26" s="289" t="str">
        <x:v>2.5G</x:v>
      </x:c>
      <x:c r="E26" s="289" t="str">
        <x:v>at模式30W分配规划</x:v>
      </x:c>
      <x:c r="F26" s="289" t="str">
        <x:v>3B改Fusion PoE LAN1</x:v>
      </x:c>
      <x:c r="G26" s="262"/>
      <x:c r="H26" s="262"/>
      <x:c r="I26" s="262"/>
      <x:c r="J26" s="262"/>
      <x:c r="K26" s="262"/>
      <x:c r="L26" s="262"/>
    </x:row>
    <x:row r="27" ht="36" customHeight="1">
      <x:c r="A27" s="289" t="str">
        <x:v>中央ES206XPP（仅3A）</x:v>
      </x:c>
      <x:c r="B27" s="289" t="str">
        <x:v>C-03</x:v>
      </x:c>
      <x:c r="C27" s="289" t="str">
        <x:v>次卧 RJ45 墙口，暂不购 AP</x:v>
      </x:c>
      <x:c r="D27" s="289" t="str">
        <x:v>2.5G</x:v>
      </x:c>
      <x:c r="E27" s="289" t="str">
        <x:v>默认关闭 PoE；可选旧路由器自带电源</x:v>
      </x:c>
      <x:c r="F27" s="289" t="str">
        <x:v>3B改Fusion PoE LAN2</x:v>
      </x:c>
      <x:c r="G27" s="262"/>
      <x:c r="H27" s="262"/>
      <x:c r="I27" s="262"/>
      <x:c r="J27" s="262"/>
      <x:c r="K27" s="262"/>
      <x:c r="L27" s="262"/>
    </x:row>
    <x:row r="28" ht="36" customHeight="1">
      <x:c r="A28" s="289" t="str">
        <x:v>中央ES206XPP（仅3A）</x:v>
      </x:c>
      <x:c r="B28" s="289" t="str">
        <x:v>C-04</x:v>
      </x:c>
      <x:c r="C28" s="289" t="str">
        <x:v>工作室ES210X</x:v>
      </x:c>
      <x:c r="D28" s="289" t="str">
        <x:v>2.5G</x:v>
      </x:c>
      <x:c r="E28" s="289" t="str">
        <x:v>无PoE</x:v>
      </x:c>
      <x:c r="F28" s="289" t="str">
        <x:v>3B改Fusion LAN3</x:v>
      </x:c>
      <x:c r="G28" s="262"/>
      <x:c r="H28" s="262"/>
      <x:c r="I28" s="262"/>
      <x:c r="J28" s="262"/>
      <x:c r="K28" s="262"/>
      <x:c r="L28" s="262"/>
    </x:row>
    <x:row r="29" ht="36" customHeight="1">
      <x:c r="A29" s="289" t="str">
        <x:v>中央ES206XPP（仅3A）</x:v>
      </x:c>
      <x:c r="B29" s="289" t="str">
        <x:v>C-05</x:v>
      </x:c>
      <x:c r="C29" s="289" t="str">
        <x:v>大厅ES206X</x:v>
      </x:c>
      <x:c r="D29" s="289" t="str">
        <x:v>2.5G</x:v>
      </x:c>
      <x:c r="E29" s="289" t="str">
        <x:v>无PoE</x:v>
      </x:c>
      <x:c r="F29" s="289" t="str">
        <x:v>3B改Fusion LAN4</x:v>
      </x:c>
      <x:c r="G29" s="262"/>
      <x:c r="H29" s="262"/>
      <x:c r="I29" s="262"/>
      <x:c r="J29" s="262"/>
      <x:c r="K29" s="262"/>
      <x:c r="L29" s="262"/>
    </x:row>
    <x:row r="30" ht="36" customHeight="1">
      <x:c r="A30" s="289" t="str">
        <x:v>工作室ES210X</x:v>
      </x:c>
      <x:c r="B30" s="289" t="str">
        <x:v>SFP+1</x:v>
      </x:c>
      <x:c r="C30" s="289" t="str">
        <x:v>Mac Studio</x:v>
      </x:c>
      <x:c r="D30" s="289" t="str">
        <x:v>10G RJ45</x:v>
      </x:c>
      <x:c r="E30" s="289" t="str">
        <x:v>无PoE</x:v>
      </x:c>
      <x:c r="F30" s="289" t="str">
        <x:v>Cat6A≤30m；模块散热</x:v>
      </x:c>
      <x:c r="G30" s="262"/>
      <x:c r="H30" s="262"/>
      <x:c r="I30" s="262"/>
      <x:c r="J30" s="262"/>
      <x:c r="K30" s="262"/>
      <x:c r="L30" s="262"/>
    </x:row>
    <x:row r="31" ht="36" customHeight="1">
      <x:c r="A31" s="289" t="str">
        <x:v>工作室ES210X</x:v>
      </x:c>
      <x:c r="B31" s="289" t="str">
        <x:v>SFP+2</x:v>
      </x:c>
      <x:c r="C31" s="289" t="str">
        <x:v>未来NAS</x:v>
      </x:c>
      <x:c r="D31" s="289" t="str">
        <x:v>10G SFP+</x:v>
      </x:c>
      <x:c r="E31" s="289" t="str">
        <x:v>无PoE</x:v>
      </x:c>
      <x:c r="F31" s="289" t="str">
        <x:v>独立端口；NAS介质后置</x:v>
      </x:c>
      <x:c r="G31" s="262"/>
      <x:c r="H31" s="262"/>
      <x:c r="I31" s="262"/>
      <x:c r="J31" s="262"/>
      <x:c r="K31" s="262"/>
      <x:c r="L31" s="262"/>
    </x:row>
    <x:row r="32" ht="36" customHeight="1">
      <x:c r="A32" s="289" t="str">
        <x:v>工作室ES210X</x:v>
      </x:c>
      <x:c r="B32" s="289" t="str">
        <x:v>S-01</x:v>
      </x:c>
      <x:c r="C32" s="289" t="str">
        <x:v>中央/Fusion上联</x:v>
      </x:c>
      <x:c r="D32" s="289" t="str">
        <x:v>2.5G</x:v>
      </x:c>
      <x:c r="E32" s="289" t="str">
        <x:v>无PoE</x:v>
      </x:c>
      <x:c r="F32" s="289" t="str">
        <x:v>TRUNK-STUDIO</x:v>
      </x:c>
      <x:c r="G32" s="262"/>
      <x:c r="H32" s="262"/>
      <x:c r="I32" s="262"/>
      <x:c r="J32" s="262"/>
      <x:c r="K32" s="262"/>
      <x:c r="L32" s="262"/>
    </x:row>
    <x:row r="33" ht="36" customHeight="1">
      <x:c r="A33" s="289" t="str">
        <x:v>工作室ES210X</x:v>
      </x:c>
      <x:c r="B33" s="289" t="str">
        <x:v>S-02/S-03</x:v>
      </x:c>
      <x:c r="C33" s="289" t="str">
        <x:v>两台PC</x:v>
      </x:c>
      <x:c r="D33" s="289" t="str">
        <x:v>现1G→2.5G</x:v>
      </x:c>
      <x:c r="E33" s="289" t="str">
        <x:v>无PoE</x:v>
      </x:c>
      <x:c r="F33" s="289" t="str">
        <x:v>按PC网卡实机</x:v>
      </x:c>
      <x:c r="G33" s="262"/>
      <x:c r="H33" s="262"/>
      <x:c r="I33" s="262"/>
      <x:c r="J33" s="262"/>
      <x:c r="K33" s="262"/>
      <x:c r="L33" s="262"/>
    </x:row>
    <x:row r="34" ht="36" customHeight="1">
      <x:c r="A34" s="289" t="str">
        <x:v>工作室ES210X</x:v>
      </x:c>
      <x:c r="B34" s="289" t="str">
        <x:v>S-04</x:v>
      </x:c>
      <x:c r="C34" s="289" t="str">
        <x:v>Mac Mini</x:v>
      </x:c>
      <x:c r="D34" s="289" t="str">
        <x:v>1G</x:v>
      </x:c>
      <x:c r="E34" s="289" t="str">
        <x:v>无PoE</x:v>
      </x:c>
      <x:c r="F34" s="289" t="str">
        <x:v>已有</x:v>
      </x:c>
      <x:c r="G34" s="262"/>
      <x:c r="H34" s="262"/>
      <x:c r="I34" s="262"/>
      <x:c r="J34" s="262"/>
      <x:c r="K34" s="262"/>
      <x:c r="L34" s="262"/>
    </x:row>
    <x:row r="35" ht="36" customHeight="1">
      <x:c r="A35" s="289" t="str">
        <x:v>工作室ES210X</x:v>
      </x:c>
      <x:c r="B35" s="289" t="str">
        <x:v>S-05</x:v>
      </x:c>
      <x:c r="C35" s="289" t="str">
        <x:v>J3455</x:v>
      </x:c>
      <x:c r="D35" s="289" t="str">
        <x:v>现1G→2.5G</x:v>
      </x:c>
      <x:c r="E35" s="289" t="str">
        <x:v>无PoE</x:v>
      </x:c>
      <x:c r="F35" s="289" t="str">
        <x:v>HA/影音NAS直连</x:v>
      </x:c>
      <x:c r="G35" s="262"/>
      <x:c r="H35" s="262"/>
      <x:c r="I35" s="262"/>
      <x:c r="J35" s="262"/>
      <x:c r="K35" s="262"/>
      <x:c r="L35" s="262"/>
    </x:row>
    <x:row r="36" ht="40" customHeight="1">
      <x:c r="A36" s="289" t="str">
        <x:v>工作室ES210X</x:v>
      </x:c>
      <x:c r="B36" s="289" t="str">
        <x:v>S-08</x:v>
      </x:c>
      <x:c r="C36" s="289" t="str">
        <x:v>EAP775-Wall</x:v>
      </x:c>
      <x:c r="D36" s="289" t="str">
        <x:v>2.5G</x:v>
      </x:c>
      <x:c r="E36" s="289" t="str">
        <x:v>at模式30W分配规划</x:v>
      </x:c>
      <x:c r="F36" s="289" t="str">
        <x:v>30W分配/200W；PoE Out关闭</x:v>
      </x:c>
      <x:c r="G36" s="262"/>
      <x:c r="H36" s="262"/>
      <x:c r="I36" s="262"/>
      <x:c r="J36" s="262"/>
      <x:c r="K36" s="262"/>
      <x:c r="L36" s="262"/>
    </x:row>
    <x:row r="37" ht="36" customHeight="1">
      <x:c r="A37" s="289" t="str">
        <x:v>大厅ES206X</x:v>
      </x:c>
      <x:c r="B37" s="289" t="str">
        <x:v>H-01</x:v>
      </x:c>
      <x:c r="C37" s="289" t="str">
        <x:v>中央/Fusion上联</x:v>
      </x:c>
      <x:c r="D37" s="289" t="str">
        <x:v>2.5G</x:v>
      </x:c>
      <x:c r="E37" s="289" t="str">
        <x:v>无PoE</x:v>
      </x:c>
      <x:c r="F37" s="289" t="str">
        <x:v>TRUNK-HALL</x:v>
      </x:c>
      <x:c r="G37" s="262"/>
      <x:c r="H37" s="262"/>
      <x:c r="I37" s="262"/>
      <x:c r="J37" s="262"/>
      <x:c r="K37" s="262"/>
      <x:c r="L37" s="262"/>
    </x:row>
    <x:row r="38" ht="36" customHeight="1">
      <x:c r="A38" s="289" t="str">
        <x:v>大厅ES206X</x:v>
      </x:c>
      <x:c r="B38" s="289" t="str">
        <x:v>H-02</x:v>
      </x:c>
      <x:c r="C38" s="289" t="str">
        <x:v>EAP772</x:v>
      </x:c>
      <x:c r="D38" s="289" t="str">
        <x:v>2.5G</x:v>
      </x:c>
      <x:c r="E38" s="289" t="str">
        <x:v>at模式30W分配规划</x:v>
      </x:c>
      <x:c r="F38" s="289" t="str">
        <x:v>30W分配/120W</x:v>
      </x:c>
      <x:c r="G38" s="262"/>
      <x:c r="H38" s="262"/>
      <x:c r="I38" s="262"/>
      <x:c r="J38" s="262"/>
      <x:c r="K38" s="262"/>
      <x:c r="L38" s="262"/>
    </x:row>
    <x:row r="39" ht="36" customHeight="1">
      <x:c r="A39" s="289" t="str">
        <x:v>大厅ES206X</x:v>
      </x:c>
      <x:c r="B39" s="289" t="str">
        <x:v>H-03</x:v>
      </x:c>
      <x:c r="C39" s="289" t="str">
        <x:v>电视</x:v>
      </x:c>
      <x:c r="D39" s="289" t="str">
        <x:v>按实机</x:v>
      </x:c>
      <x:c r="E39" s="289" t="str">
        <x:v>无PoE</x:v>
      </x:c>
      <x:c r="F39" s="289" t="str">
        <x:v>有线</x:v>
      </x:c>
      <x:c r="G39" s="262"/>
      <x:c r="H39" s="262"/>
      <x:c r="I39" s="262"/>
      <x:c r="J39" s="262"/>
      <x:c r="K39" s="262"/>
      <x:c r="L39" s="262"/>
    </x:row>
    <x:row r="40" ht="36" customHeight="1">
      <x:c r="A40" s="289" t="str">
        <x:v>大厅ES206X</x:v>
      </x:c>
      <x:c r="B40" s="289" t="str">
        <x:v>H-04</x:v>
      </x:c>
      <x:c r="C40" s="289" t="str">
        <x:v>HALL-IOT-GW</x:v>
      </x:c>
      <x:c r="D40" s="289" t="str">
        <x:v>按网关接口</x:v>
      </x:c>
      <x:c r="E40" s="289" t="str">
        <x:v>无PoE</x:v>
      </x:c>
      <x:c r="F40" s="289" t="str">
        <x:v>普通电源；如最终设备需PoE则另核交换机端口</x:v>
      </x:c>
      <x:c r="G40" s="262"/>
      <x:c r="H40" s="262"/>
      <x:c r="I40" s="262"/>
      <x:c r="J40" s="262"/>
      <x:c r="K40" s="262"/>
      <x:c r="L40" s="262"/>
    </x:row>
    <x:row r="41" ht="36" customHeight="1">
      <x:c r="A41" s="289" t="str">
        <x:v>大厅ES206X</x:v>
      </x:c>
      <x:c r="B41" s="289" t="str">
        <x:v>H-05</x:v>
      </x:c>
      <x:c r="C41" s="289" t="str">
        <x:v>预留</x:v>
      </x:c>
      <x:c r="D41" s="289" t="str">
        <x:v>2.5G</x:v>
      </x:c>
      <x:c r="E41" s="289" t="str">
        <x:v>无PoE</x:v>
      </x:c>
      <x:c r="F41" s="289" t="str">
        <x:v>未来设备另配电源</x:v>
      </x:c>
      <x:c r="G41" s="262"/>
      <x:c r="H41" s="262"/>
      <x:c r="I41" s="262"/>
      <x:c r="J41" s="262"/>
      <x:c r="K41" s="262"/>
      <x:c r="L41" s="262"/>
    </x:row>
    <x:row r="42" ht="24" customHeight="1">
      <x:c r="A42" s="262"/>
      <x:c r="B42" s="262"/>
      <x:c r="C42" s="262"/>
      <x:c r="D42" s="262"/>
      <x:c r="E42" s="262"/>
      <x:c r="F42" s="262"/>
      <x:c r="G42" s="262"/>
      <x:c r="H42" s="262"/>
      <x:c r="I42" s="262"/>
      <x:c r="J42" s="262"/>
      <x:c r="K42" s="262"/>
      <x:c r="L42" s="262"/>
    </x:row>
    <x:row r="43" ht="24" customHeight="1">
      <x:c r="A43" s="262"/>
      <x:c r="B43" s="262"/>
      <x:c r="C43" s="262"/>
      <x:c r="D43" s="262"/>
      <x:c r="E43" s="262"/>
      <x:c r="F43" s="262"/>
      <x:c r="G43" s="262"/>
      <x:c r="H43" s="262"/>
      <x:c r="I43" s="262"/>
      <x:c r="J43" s="262"/>
      <x:c r="K43" s="262"/>
      <x:c r="L43" s="262"/>
    </x:row>
    <x:row r="44" ht="24" customHeight="1">
      <x:c r="A44" s="262"/>
      <x:c r="B44" s="262"/>
      <x:c r="C44" s="262"/>
      <x:c r="D44" s="262"/>
      <x:c r="E44" s="262"/>
      <x:c r="F44" s="262"/>
      <x:c r="G44" s="262"/>
      <x:c r="H44" s="262"/>
      <x:c r="I44" s="262"/>
      <x:c r="J44" s="262"/>
      <x:c r="K44" s="262"/>
      <x:c r="L44" s="262"/>
    </x:row>
    <x:row r="45" ht="28" customHeight="1">
      <x:c r="A45" s="265" t="str">
        <x:v>上线配置清单</x:v>
      </x:c>
      <x:c r="B45" s="266"/>
      <x:c r="C45" s="266"/>
      <x:c r="D45" s="266"/>
      <x:c r="E45" s="266"/>
      <x:c r="F45" s="266"/>
      <x:c r="G45" s="266"/>
      <x:c r="H45" s="266"/>
      <x:c r="I45" s="266"/>
      <x:c r="J45" s="267"/>
      <x:c r="K45" s="262"/>
      <x:c r="L45" s="262"/>
    </x:row>
    <x:row r="46" ht="27" customHeight="1">
      <x:c r="A46" s="19" t="str">
        <x:v>编号</x:v>
      </x:c>
      <x:c r="B46" s="20" t="str">
        <x:v>对象</x:v>
      </x:c>
      <x:c r="C46" s="20" t="str">
        <x:v>配置项</x:v>
      </x:c>
      <x:c r="D46" s="20" t="str">
        <x:v>要求</x:v>
      </x:c>
      <x:c r="E46" s="20" t="str">
        <x:v>阶段</x:v>
      </x:c>
      <x:c r="F46" s="21" t="str">
        <x:v>负责人</x:v>
      </x:c>
      <x:c r="G46" s="262"/>
      <x:c r="H46" s="262"/>
      <x:c r="I46" s="262"/>
      <x:c r="J46" s="262"/>
      <x:c r="K46" s="262"/>
      <x:c r="L46" s="262"/>
    </x:row>
    <x:row r="47" ht="27" customHeight="1">
      <x:c r="A47" s="283" t="str">
        <x:v>CFG-01</x:v>
      </x:c>
      <x:c r="B47" s="283" t="str">
        <x:v>光猫/运营商</x:v>
      </x:c>
      <x:c r="C47" s="283" t="str">
        <x:v>桥接/PPPoE/IPv6/IPTV/公网IP</x:v>
      </x:c>
      <x:c r="D47" s="283" t="str">
        <x:v>施工前向运营商确认；保留光猫认证能力</x:v>
      </x:c>
      <x:c r="E47" s="283" t="str">
        <x:v>待核验</x:v>
      </x:c>
      <x:c r="F47" s="283" t="str">
        <x:v>业主+运营商</x:v>
      </x:c>
      <x:c r="G47" s="262"/>
      <x:c r="H47" s="262"/>
      <x:c r="I47" s="262"/>
      <x:c r="J47" s="262"/>
      <x:c r="K47" s="262"/>
      <x:c r="L47" s="262"/>
    </x:row>
    <x:row r="48" ht="40" customHeight="1">
      <x:c r="A48" s="289" t="str">
        <x:v>CFG-02</x:v>
      </x:c>
      <x:c r="B48" s="289" t="str">
        <x:v>Fusion</x:v>
      </x:c>
      <x:c r="C48" s="289" t="str">
        <x:v>LAN地址、DHCP、DNS、时区、管理员账号</x:v>
      </x:c>
      <x:c r="D48" s="289" t="str">
        <x:v>3A普通Fusion一LAN接中央；3B购买PoE版Fusion，四LAN接四主干并留四口。记录实物端口，禁止两方案叠接。</x:v>
      </x:c>
      <x:c r="E48" s="289" t="str">
        <x:v>入住前</x:v>
      </x:c>
      <x:c r="F48" s="289" t="str">
        <x:v>网络供应商</x:v>
      </x:c>
      <x:c r="G48" s="262"/>
      <x:c r="H48" s="262"/>
      <x:c r="I48" s="262"/>
      <x:c r="J48" s="262"/>
      <x:c r="K48" s="262"/>
      <x:c r="L48" s="262"/>
    </x:row>
    <x:row r="49" ht="40" customHeight="1">
      <x:c r="A49" s="289" t="str">
        <x:v>CFG-03</x:v>
      </x:c>
      <x:c r="B49" s="289" t="str">
        <x:v>Omada</x:v>
      </x:c>
      <x:c r="C49" s="289" t="str">
        <x:v>采用Fusion内置控制器发现交换机/AP</x:v>
      </x:c>
      <x:c r="D49" s="289" t="str">
        <x:v>Fusion控制器须支持ES206XPP/ES210XPP及EAP775-Wall/EAP772实际版本；验证adoption、VLAN、PoE手动重启和备份。</x:v>
      </x:c>
      <x:c r="E49" s="289" t="str">
        <x:v>入住前</x:v>
      </x:c>
      <x:c r="F49" s="289" t="str">
        <x:v>网络供应商</x:v>
      </x:c>
      <x:c r="G49" s="262"/>
      <x:c r="H49" s="262"/>
      <x:c r="I49" s="262"/>
      <x:c r="J49" s="262"/>
      <x:c r="K49" s="262"/>
      <x:c r="L49" s="262"/>
    </x:row>
    <x:row r="50" ht="42" customHeight="1">
      <x:c r="A50" s="289" t="str">
        <x:v>CFG-04</x:v>
      </x:c>
      <x:c r="B50" s="289" t="str">
        <x:v>Wi-Fi</x:v>
      </x:c>
      <x:c r="C50" s="289" t="str">
        <x:v>主SSID + 2.4GHz IoT SSID + 访客SSID（可选）</x:v>
      </x:c>
      <x:c r="D50" s="289" t="str">
        <x:v>本版仅2.4/5GHz；IoT保留2.4GHz兼容。5GHz宽信道按当地许可与干扰实测，不保证240MHz或标称速率。</x:v>
      </x:c>
      <x:c r="E50" s="289" t="str">
        <x:v>入住前</x:v>
      </x:c>
      <x:c r="F50" s="289" t="str">
        <x:v>网络供应商</x:v>
      </x:c>
      <x:c r="G50" s="262"/>
      <x:c r="H50" s="262"/>
      <x:c r="I50" s="262"/>
      <x:c r="J50" s="262"/>
      <x:c r="K50" s="262"/>
      <x:c r="L50" s="262"/>
    </x:row>
    <x:row r="51" ht="27" customHeight="1">
      <x:c r="A51" s="289" t="str">
        <x:v>CFG-05</x:v>
      </x:c>
      <x:c r="B51" s="289" t="str">
        <x:v>VLAN/组播</x:v>
      </x:c>
      <x:c r="C51" s="289" t="str">
        <x:v>初期先同一可信LAN，后续再分VLAN</x:v>
      </x:c>
      <x:c r="D51" s="289" t="str">
        <x:v>分VLAN前先验证mDNS/Bonjour、IPv6、Matter/HomeKit/HA发现</x:v>
      </x:c>
      <x:c r="E51" s="289" t="str">
        <x:v>后置</x:v>
      </x:c>
      <x:c r="F51" s="289" t="str">
        <x:v>业主+网络供应商</x:v>
      </x:c>
      <x:c r="G51" s="262"/>
      <x:c r="H51" s="262"/>
      <x:c r="I51" s="262"/>
      <x:c r="J51" s="262"/>
      <x:c r="K51" s="262"/>
      <x:c r="L51" s="262"/>
    </x:row>
    <x:row r="52" ht="40" customHeight="1">
      <x:c r="A52" s="289" t="str">
        <x:v>CFG-06</x:v>
      </x:c>
      <x:c r="B52" s="289" t="str">
        <x:v>PoE</x:v>
      </x:c>
      <x:c r="C52" s="289" t="str">
        <x:v>交换机或PoE网关直接供AP；PoE Out关闭</x:v>
      </x:c>
      <x:c r="D52" s="289" t="str">
        <x:v>面板AP按at输入、关闭PoE Out规划。核实际协商、分配功率、冷启动满载；控制器模式验证手动PoE重启。</x:v>
      </x:c>
      <x:c r="E52" s="289" t="str">
        <x:v>入住前</x:v>
      </x:c>
      <x:c r="F52" s="289" t="str">
        <x:v>网络供应商</x:v>
      </x:c>
      <x:c r="G52" s="262"/>
      <x:c r="H52" s="262"/>
      <x:c r="I52" s="262"/>
      <x:c r="J52" s="262"/>
      <x:c r="K52" s="262"/>
      <x:c r="L52" s="262"/>
    </x:row>
    <x:row r="53" ht="42" customHeight="1">
      <x:c r="A53" s="289" t="str">
        <x:v>CFG-07</x:v>
      </x:c>
      <x:c r="B53" s="289" t="str">
        <x:v>地址规划</x:v>
      </x:c>
      <x:c r="C53" s="289" t="str">
        <x:v>交换机/AP/J3455/HA/网关保留DHCP预约</x:v>
      </x:c>
      <x:c r="D53" s="289" t="str">
        <x:v>记录设备名、MAC、IP、端口标签</x:v>
      </x:c>
      <x:c r="E53" s="289" t="str">
        <x:v>入住前</x:v>
      </x:c>
      <x:c r="F53" s="289" t="str">
        <x:v>网络供应商</x:v>
      </x:c>
      <x:c r="G53" s="262"/>
      <x:c r="H53" s="262"/>
      <x:c r="I53" s="262"/>
      <x:c r="J53" s="262"/>
      <x:c r="K53" s="262"/>
      <x:c r="L53" s="262"/>
    </x:row>
    <x:row r="54" ht="40" customHeight="1">
      <x:c r="A54" s="289" t="str">
        <x:v>CFG-08</x:v>
      </x:c>
      <x:c r="B54" s="289" t="str">
        <x:v>验收</x:v>
      </x:c>
      <x:c r="C54" s="289" t="str">
        <x:v>2.5G/10G协商、PoE、吞吐、漫游、断电恢复</x:v>
      </x:c>
      <x:c r="D54" s="289" t="str">
        <x:v>保存端口、PoE分配/实耗、温度和配置备份；3B测试两组跨房iperf3并发、VLAN/SSID与断电恢复。</x:v>
      </x:c>
      <x:c r="E54" s="289" t="str">
        <x:v>入住前</x:v>
      </x:c>
      <x:c r="F54" s="289" t="str">
        <x:v>网络供应商</x:v>
      </x:c>
      <x:c r="G54" s="262"/>
      <x:c r="H54" s="262"/>
      <x:c r="I54" s="262"/>
      <x:c r="J54" s="262"/>
      <x:c r="K54" s="262"/>
      <x:c r="L54" s="262"/>
    </x:row>
    <x:row r="55" ht="42" customHeight="1">
      <x:c r="A55" s="289" t="str">
        <x:v>CFG-09</x:v>
      </x:c>
      <x:c r="B55" s="289" t="str">
        <x:v>防火墙/管理</x:v>
      </x:c>
      <x:c r="C55" s="289" t="str">
        <x:v>默认拒绝WAN入站；不开放管理界面到公网</x:v>
      </x:c>
      <x:c r="D55" s="289" t="str">
        <x:v>关闭不需要的UPnP、端口映射和远程管理；更新安全固件，使用独立强密码/MFA（支持时）</x:v>
      </x:c>
      <x:c r="E55" s="289" t="str">
        <x:v>入住前</x:v>
      </x:c>
      <x:c r="F55" s="289" t="str">
        <x:v>网络供应商</x:v>
      </x:c>
      <x:c r="G55" s="262"/>
      <x:c r="H55" s="262"/>
      <x:c r="I55" s="262"/>
      <x:c r="J55" s="262"/>
      <x:c r="K55" s="262"/>
      <x:c r="L55" s="262"/>
    </x:row>
    <x:row r="56" ht="42" customHeight="1">
      <x:c r="A56" s="289" t="str">
        <x:v>CFG-10</x:v>
      </x:c>
      <x:c r="B56" s="289" t="str">
        <x:v>管理交付</x:v>
      </x:c>
      <x:c r="C56" s="289" t="str">
        <x:v>业主保管管理员账号、配置备份和设备清单</x:v>
      </x:c>
      <x:c r="D56" s="289" t="str">
        <x:v>Hermes只获取所需家居控制权限，不发网络管理员凭据；施工方账户交付后撤销或降权</x:v>
      </x:c>
      <x:c r="E56" s="289" t="str">
        <x:v>入住前</x:v>
      </x:c>
      <x:c r="F56" s="289" t="str">
        <x:v>业主+网络供应商</x:v>
      </x:c>
      <x:c r="G56" s="262"/>
      <x:c r="H56" s="262"/>
      <x:c r="I56" s="262"/>
      <x:c r="J56" s="262"/>
      <x:c r="K56" s="262"/>
      <x:c r="L56" s="262"/>
    </x:row>
    <x:row r="57" ht="42" customHeight="1">
      <x:c r="A57" s="289" t="str">
        <x:v>CFG-11</x:v>
      </x:c>
      <x:c r="B57" s="289" t="str">
        <x:v>无线调优</x:v>
      </x:c>
      <x:c r="C57" s="289" t="str">
        <x:v>真实地区2.4/5GHz信道、带宽、发射功率及漫游</x:v>
      </x:c>
      <x:c r="D57" s="289" t="str">
        <x:v>先实测覆盖和干扰再设置；2.4GHz优先20MHz；访客隔离需跨设备验证，不承诺零丢包漫游</x:v>
      </x:c>
      <x:c r="E57" s="289" t="str">
        <x:v>入住前</x:v>
      </x:c>
      <x:c r="F57" s="289" t="str">
        <x:v>网络供应商</x:v>
      </x:c>
      <x:c r="G57" s="262"/>
      <x:c r="H57" s="262"/>
      <x:c r="I57" s="262"/>
      <x:c r="J57" s="262"/>
      <x:c r="K57" s="262"/>
      <x:c r="L57" s="262"/>
    </x:row>
    <x:row r="58" ht="42" customHeight="1">
      <x:c r="A58" s="289" t="str">
        <x:v>CFG-12</x:v>
      </x:c>
      <x:c r="B58" s="289" t="str">
        <x:v>地址规划</x:v>
      </x:c>
      <x:c r="C58" s="289" t="str">
        <x:v>建议LAN 192.168.50.0/24（先查现网/VPN冲突）</x:v>
      </x:c>
      <x:c r="D58" s="289" t="str">
        <x:v>网关.1，基础设备.2–.29，服务/家居.30–.79，DHCP.100–.239；仅建议，未写入设备</x:v>
      </x:c>
      <x:c r="E58" s="289" t="str">
        <x:v>待确认</x:v>
      </x:c>
      <x:c r="F58" s="289" t="str">
        <x:v>业主+网络供应商</x:v>
      </x:c>
      <x:c r="G58" s="262"/>
      <x:c r="H58" s="262"/>
      <x:c r="I58" s="262"/>
      <x:c r="J58" s="262"/>
      <x:c r="K58" s="262"/>
      <x:c r="L58" s="262"/>
    </x:row>
    <x:row r="59" ht="42" customHeight="1">
      <x:c r="A59" s="289" t="str">
        <x:v>CFG-13</x:v>
      </x:c>
      <x:c r="B59" s="289" t="str">
        <x:v>吞吐/MTU</x:v>
      </x:c>
      <x:c r="C59" s="289" t="str">
        <x:v>先保持全链路默认MTU 1500，实测iperf3与文件拷贝</x:v>
      </x:c>
      <x:c r="D59" s="289" t="str">
        <x:v>不默认开启Jumbo/LAG；PPPoE、IPS、VPN实际路由性能与接口速率分别验收</x:v>
      </x:c>
      <x:c r="E59" s="289" t="str">
        <x:v>入住前</x:v>
      </x:c>
      <x:c r="F59" s="289" t="str">
        <x:v>网络供应商</x:v>
      </x:c>
      <x:c r="G59" s="262"/>
      <x:c r="H59" s="262"/>
      <x:c r="I59" s="262"/>
      <x:c r="J59" s="262"/>
      <x:c r="K59" s="262"/>
      <x:c r="L59" s="262"/>
    </x:row>
    <x:row r="60" ht="24" customHeight="1">
      <x:c r="A60" s="262"/>
      <x:c r="B60" s="262"/>
      <x:c r="C60" s="262"/>
      <x:c r="D60" s="262"/>
      <x:c r="E60" s="262"/>
      <x:c r="F60" s="262"/>
      <x:c r="G60" s="262"/>
      <x:c r="H60" s="262"/>
      <x:c r="I60" s="262"/>
      <x:c r="J60" s="262"/>
      <x:c r="K60" s="262"/>
      <x:c r="L60" s="262"/>
    </x:row>
    <x:row r="61" ht="24" customHeight="1">
      <x:c r="A61" s="262"/>
      <x:c r="B61" s="262"/>
      <x:c r="C61" s="262"/>
      <x:c r="D61" s="262"/>
      <x:c r="E61" s="262"/>
      <x:c r="F61" s="262"/>
      <x:c r="G61" s="262"/>
      <x:c r="H61" s="262"/>
      <x:c r="I61" s="262"/>
      <x:c r="J61" s="262"/>
      <x:c r="K61" s="262"/>
      <x:c r="L61" s="262"/>
    </x:row>
    <x:row r="62" ht="55" customHeight="1">
      <x:c r="A62" s="265" t="str">
        <x:v>PoE直接供电规划（3A）：按at端口分配上限计算，不是AP裸机实耗</x:v>
      </x:c>
      <x:c r="B62" s="266"/>
      <x:c r="C62" s="266"/>
      <x:c r="D62" s="266"/>
      <x:c r="E62" s="266"/>
      <x:c r="F62" s="266"/>
      <x:c r="G62" s="266"/>
      <x:c r="H62" s="266"/>
      <x:c r="I62" s="266"/>
      <x:c r="J62" s="266"/>
      <x:c r="K62" s="267"/>
      <x:c r="L62" s="262"/>
    </x:row>
    <x:row r="63" ht="34" customHeight="1">
      <x:c r="A63" s="437" t="str">
        <x:v>位置/设备</x:v>
      </x:c>
      <x:c r="B63" s="437" t="str">
        <x:v>PoE口数</x:v>
      </x:c>
      <x:c r="C63" s="437" t="str">
        <x:v>PoE预算W</x:v>
      </x:c>
      <x:c r="D63" s="437" t="str">
        <x:v>AP数量</x:v>
      </x:c>
      <x:c r="E63" s="437" t="str">
        <x:v>PSE模式</x:v>
      </x:c>
      <x:c r="F63" s="437" t="str">
        <x:v>每AP分配上限W</x:v>
      </x:c>
      <x:c r="G63" s="437" t="str">
        <x:v>AP规划W</x:v>
      </x:c>
      <x:c r="H63" s="437" t="str">
        <x:v>规划余量W</x:v>
      </x:c>
      <x:c r="I63" s="437" t="str">
        <x:v>现用铜口</x:v>
      </x:c>
      <x:c r="J63" s="437" t="str">
        <x:v>铜口总数</x:v>
      </x:c>
      <x:c r="K63" s="437" t="str">
        <x:v>剩余铜口</x:v>
      </x:c>
      <x:c r="L63" s="262"/>
    </x:row>
    <x:row r="64" ht="36" customHeight="1">
      <x:c r="A64" s="262" t="str">
        <x:v>中央ES206XPP</x:v>
      </x:c>
      <x:c r="B64" s="381" t="n">
        <x:v>4</x:v>
      </x:c>
      <x:c r="C64" s="381" t="n">
        <x:v>120</x:v>
      </x:c>
      <x:c r="D64" s="381" t="n">
        <x:v>1</x:v>
      </x:c>
      <x:c r="E64" s="382" t="str">
        <x:v>802.3at</x:v>
      </x:c>
      <x:c r="F64" s="382" t="n">
        <x:v>30</x:v>
      </x:c>
      <x:c r="G64" s="383" t="n">
        <x:f>D64*F64</x:f>
        <x:v>30</x:v>
      </x:c>
      <x:c r="H64" s="383" t="n">
        <x:f>C64-G64</x:f>
        <x:v>90</x:v>
      </x:c>
      <x:c r="I64" s="383" t="n">
        <x:v>5</x:v>
      </x:c>
      <x:c r="J64" s="383" t="n">
        <x:v>5</x:v>
      </x:c>
      <x:c r="K64" s="383" t="n">
        <x:f>J64-I64</x:f>
        <x:v>0</x:v>
      </x:c>
      <x:c r="L64" s="262"/>
    </x:row>
    <x:row r="65" ht="36" customHeight="1">
      <x:c r="A65" s="262" t="str">
        <x:v>工作室ES210XPP</x:v>
      </x:c>
      <x:c r="B65" s="381" t="n">
        <x:v>8</x:v>
      </x:c>
      <x:c r="C65" s="381" t="n">
        <x:v>200</x:v>
      </x:c>
      <x:c r="D65" s="381" t="n">
        <x:v>1</x:v>
      </x:c>
      <x:c r="E65" s="382" t="str">
        <x:v>802.3at</x:v>
      </x:c>
      <x:c r="F65" s="382" t="n">
        <x:v>30</x:v>
      </x:c>
      <x:c r="G65" s="383" t="n">
        <x:f>D65*F65</x:f>
        <x:v>30</x:v>
      </x:c>
      <x:c r="H65" s="383" t="n">
        <x:f>C65-G65</x:f>
        <x:v>170</x:v>
      </x:c>
      <x:c r="I65" s="383" t="n">
        <x:v>6</x:v>
      </x:c>
      <x:c r="J65" s="383" t="n">
        <x:v>8</x:v>
      </x:c>
      <x:c r="K65" s="383" t="n">
        <x:f>J65-I65</x:f>
        <x:v>2</x:v>
      </x:c>
      <x:c r="L65" s="262"/>
    </x:row>
    <x:row r="66" ht="36" customHeight="1">
      <x:c r="A66" s="262" t="str">
        <x:v>大厅ES206XPP</x:v>
      </x:c>
      <x:c r="B66" s="381" t="n">
        <x:v>4</x:v>
      </x:c>
      <x:c r="C66" s="381" t="n">
        <x:v>120</x:v>
      </x:c>
      <x:c r="D66" s="381" t="n">
        <x:v>1</x:v>
      </x:c>
      <x:c r="E66" s="382" t="str">
        <x:v>802.3at</x:v>
      </x:c>
      <x:c r="F66" s="382" t="n">
        <x:v>30</x:v>
      </x:c>
      <x:c r="G66" s="383" t="n">
        <x:f>D66*F66</x:f>
        <x:v>30</x:v>
      </x:c>
      <x:c r="H66" s="383" t="n">
        <x:f>C66-G66</x:f>
        <x:v>90</x:v>
      </x:c>
      <x:c r="I66" s="383" t="n">
        <x:v>4</x:v>
      </x:c>
      <x:c r="J66" s="383" t="n">
        <x:v>5</x:v>
      </x:c>
      <x:c r="K66" s="383" t="n">
        <x:f>J66-I66</x:f>
        <x:v>1</x:v>
      </x:c>
      <x:c r="L66" s="262"/>
    </x:row>
    <x:row r="67" ht="24" customHeight="1">
      <x:c r="A67" s="262"/>
      <x:c r="B67" s="262"/>
      <x:c r="C67" s="262"/>
      <x:c r="D67" s="262"/>
      <x:c r="E67" s="262"/>
      <x:c r="F67" s="262"/>
      <x:c r="G67" s="262"/>
      <x:c r="H67" s="262"/>
      <x:c r="I67" s="262"/>
      <x:c r="J67" s="262"/>
      <x:c r="K67" s="262"/>
      <x:c r="L67" s="262"/>
    </x:row>
    <x:row r="68" ht="36" customHeight="1">
      <x:c r="A68" s="262" t="str">
        <x:v>EAP775-Wall 支持at/bt；45W标称上限含25W下游PoE Out，本案禁用转供，不以差值推裸机功耗；EAP772最大25.4W。下表按各at端口PSE分配上限30W作初步规划，若协商bt或控制器预留更高，须按实机重算。</x:v>
      </x:c>
      <x:c r="B68" s="262"/>
      <x:c r="C68" s="262"/>
      <x:c r="D68" s="262"/>
      <x:c r="E68" s="262"/>
      <x:c r="F68" s="262"/>
      <x:c r="G68" s="262"/>
      <x:c r="H68" s="262"/>
      <x:c r="I68" s="262"/>
      <x:c r="J68" s="262"/>
      <x:c r="K68" s="262"/>
      <x:c r="L68" s="262"/>
    </x:row>
    <x:row r="69" ht="36" customHeight="1"/>
    <x:row r="71" ht="24" customHeight="1">
      <x:c r="A71" s="442" t="str">
        <x:v>3B：Fusion PoE 当前只给主卧 AP 供电；次卧为 RJ45 预留口，工作室和大厅预算与 3A 相同。</x:v>
      </x:c>
      <x:c r="B71" s="442"/>
      <x:c r="C71" s="442"/>
      <x:c r="D71" s="442"/>
      <x:c r="E71" s="442"/>
      <x:c r="F71" s="442"/>
      <x:c r="G71" s="442"/>
      <x:c r="H71" s="442"/>
      <x:c r="I71" s="442"/>
      <x:c r="J71" s="442"/>
      <x:c r="K71" s="442"/>
    </x:row>
    <x:row r="72" ht="34" customHeight="1">
      <x:c r="A72" s="437" t="str">
        <x:v>设备</x:v>
      </x:c>
      <x:c r="B72" s="437" t="str">
        <x:v>可PoE口数</x:v>
      </x:c>
      <x:c r="C72" s="437" t="str">
        <x:v>预算W</x:v>
      </x:c>
      <x:c r="D72" s="437" t="str">
        <x:v>AP数量</x:v>
      </x:c>
      <x:c r="E72" s="437" t="str">
        <x:v>PSE模式</x:v>
      </x:c>
      <x:c r="F72" s="437" t="str">
        <x:v>每AP分配上限W</x:v>
      </x:c>
      <x:c r="G72" s="437" t="str">
        <x:v>AP规划W</x:v>
      </x:c>
      <x:c r="H72" s="437" t="str">
        <x:v>规划余量W</x:v>
      </x:c>
      <x:c r="I72" s="437" t="str">
        <x:v>现用LAN</x:v>
      </x:c>
      <x:c r="J72" s="437" t="str">
        <x:v>可用LAN</x:v>
      </x:c>
      <x:c r="K72" s="437" t="str">
        <x:v>剩余LAN</x:v>
      </x:c>
    </x:row>
    <x:row r="73" ht="24" customHeight="1">
      <x:c r="A73" s="385" t="str">
        <x:v>Fusion 2.5G PoE</x:v>
      </x:c>
      <x:c r="B73" s="385" t="n">
        <x:v>8</x:v>
      </x:c>
      <x:c r="C73" s="385" t="n">
        <x:v>110</x:v>
      </x:c>
      <x:c r="D73" s="385" t="n">
        <x:v>2</x:v>
      </x:c>
      <x:c r="E73" s="385" t="str">
        <x:v>802.3at</x:v>
      </x:c>
      <x:c r="F73" s="385" t="n">
        <x:v>30</x:v>
      </x:c>
      <x:c r="G73" s="385" t="n">
        <x:f>D73*F73</x:f>
        <x:v>60</x:v>
      </x:c>
      <x:c r="H73" s="385" t="n">
        <x:f>C73-G73</x:f>
        <x:v>50</x:v>
      </x:c>
      <x:c r="I73" s="385" t="n">
        <x:v>4</x:v>
      </x:c>
      <x:c r="J73" s="385" t="n">
        <x:v>8</x:v>
      </x:c>
      <x:c r="K73" s="385" t="n">
        <x:f>J73-I73</x:f>
        <x:v>4</x:v>
      </x:c>
    </x:row>
    <x:row r="75">
      <x:c r="A75" s="443" t="str">
        <x:v>两种方案均直接PoE，不需要独立供电器。3B的8个LAN/WAN口用4留4，只有两口给卧室AP供电；房间交换机仍本地市电。PoE版有风扇且使用54V/2.43A直流适配器，交流输入和插头按铭牌核。跨房交换与路由吞吐分别实测。</x:v>
      </x:c>
      <x:c r="B75" s="443"/>
      <x:c r="C75" s="443"/>
      <x:c r="D75" s="443"/>
      <x:c r="E75" s="443"/>
      <x:c r="F75" s="443"/>
      <x:c r="G75" s="443"/>
      <x:c r="H75" s="443"/>
      <x:c r="I75" s="443"/>
      <x:c r="J75" s="443"/>
      <x:c r="K75" s="443"/>
    </x:row>
    <x:row r="76">
      <x:c r="A76" s="443"/>
      <x:c r="B76" s="443"/>
      <x:c r="C76" s="443"/>
      <x:c r="D76" s="443"/>
      <x:c r="E76" s="443"/>
      <x:c r="F76" s="443"/>
      <x:c r="G76" s="443"/>
      <x:c r="H76" s="443"/>
      <x:c r="I76" s="443"/>
      <x:c r="J76" s="443"/>
      <x:c r="K76" s="443"/>
    </x:row>
    <x:row r="77">
      <x:c r="A77" s="443"/>
      <x:c r="B77" s="443"/>
      <x:c r="C77" s="443"/>
      <x:c r="D77" s="443"/>
      <x:c r="E77" s="443"/>
      <x:c r="F77" s="443"/>
      <x:c r="G77" s="443"/>
      <x:c r="H77" s="443"/>
      <x:c r="I77" s="443"/>
      <x:c r="J77" s="443"/>
      <x:c r="K77" s="443"/>
    </x:row>
  </x:sheetData>
  <x:mergeCells>
    <x:mergeCell ref="A1:L1"/>
    <x:mergeCell ref="A2:L3"/>
    <x:mergeCell ref="A4:I4"/>
    <x:mergeCell ref="A23:K23"/>
    <x:mergeCell ref="A45:J45"/>
    <x:mergeCell ref="A62:K62"/>
    <x:mergeCell ref="A68:K69"/>
    <x:mergeCell ref="A75:K77"/>
    <x:mergeCell ref="A71:K71"/>
  </x:mergeCells>
  <x:pageMargins left="0.7" right="0.7" top="0.75" bottom="0.75" header="0.3" footer="0.3"/>
  <x:tableParts count="3">
    <x:tablePart xmlns:r="http://schemas.openxmlformats.org/officeDocument/2006/relationships" r:id="R753cf4278dfe4205"/>
    <x:tablePart xmlns:r="http://schemas.openxmlformats.org/officeDocument/2006/relationships" r:id="R9583105e04014652"/>
    <x:tablePart xmlns:r="http://schemas.openxmlformats.org/officeDocument/2006/relationships" r:id="R65f59e4b7f24444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34" hidden="0" customWidth="1"/>
    <x:col min="5" max="5" width="54" hidden="0" customWidth="1"/>
    <x:col min="6" max="6" width="14" hidden="0" customWidth="1"/>
    <x:col min="7" max="7" width="14" hidden="0" customWidth="1"/>
    <x:col min="8" max="8" width="50" hidden="0" customWidth="1"/>
  </x:cols>
  <x:sheetData>
    <x:row r="1" ht="32" customHeight="1">
      <x:c r="A1" s="338" t="str">
        <x:v>兼容性、后置采购与不重复购买</x:v>
      </x:c>
      <x:c r="B1" s="254"/>
      <x:c r="C1" s="254"/>
      <x:c r="D1" s="254"/>
      <x:c r="E1" s="254"/>
      <x:c r="F1" s="254"/>
      <x:c r="G1" s="254"/>
      <x:c r="H1" s="254"/>
      <x:c r="I1" s="254"/>
      <x:c r="J1" s="254"/>
    </x:row>
    <x:row r="2" ht="22" customHeight="1">
      <x:c r="A2" s="255" t="str">
        <x:v>本表把容易买错的接口、未来设备和用户已有设备分开，避免把后置项目混入装修前核心BOM。</x:v>
      </x:c>
      <x:c r="B2" s="255"/>
      <x:c r="C2" s="255"/>
      <x:c r="D2" s="255"/>
      <x:c r="E2" s="255"/>
      <x:c r="F2" s="255"/>
      <x:c r="G2" s="255"/>
      <x:c r="H2" s="255"/>
      <x:c r="I2" s="255"/>
      <x:c r="J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</x:row>
    <x:row r="4" ht="28" customHeight="1">
      <x:c r="A4" s="265" t="str">
        <x:v>接口与设备决策</x:v>
      </x:c>
      <x:c r="B4" s="266"/>
      <x:c r="C4" s="266"/>
      <x:c r="D4" s="266"/>
      <x:c r="E4" s="266"/>
      <x:c r="F4" s="266"/>
      <x:c r="G4" s="266"/>
      <x:c r="H4" s="266"/>
      <x:c r="I4" s="266"/>
      <x:c r="J4" s="267"/>
    </x:row>
    <x:row r="5" ht="27" customHeight="1">
      <x:c r="A5" s="19" t="str">
        <x:v>编号</x:v>
      </x:c>
      <x:c r="B5" s="20" t="str">
        <x:v>对象</x:v>
      </x:c>
      <x:c r="C5" s="20" t="str">
        <x:v>候选/决定</x:v>
      </x:c>
      <x:c r="D5" s="20" t="str">
        <x:v>关键规格</x:v>
      </x:c>
      <x:c r="E5" s="20" t="str">
        <x:v>核验要点</x:v>
      </x:c>
      <x:c r="F5" s="20" t="str">
        <x:v>阶段</x:v>
      </x:c>
      <x:c r="G5" s="20" t="str">
        <x:v>状态</x:v>
      </x:c>
      <x:c r="H5" s="21" t="str">
        <x:v>来源/备注</x:v>
      </x:c>
      <x:c r="I5" s="262"/>
      <x:c r="J5" s="262"/>
    </x:row>
    <x:row r="6" ht="42" customHeight="1">
      <x:c r="A6" s="283" t="str">
        <x:v>J-01</x:v>
      </x:c>
      <x:c r="B6" s="283" t="str">
        <x:v>J3455 2.5G升级</x:v>
      </x:c>
      <x:c r="C6" s="283" t="str">
        <x:v>TP-Link TX201（首选候选）</x:v>
      </x:c>
      <x:c r="D6" s="283" t="str">
        <x:v>官网：PCIe 2.1 x1、2.5GBASE-T、支持Linux、含全高/半高挡板；机身120.8×98.2×21.5mm</x:v>
      </x:c>
      <x:c r="E6" s="283" t="str">
        <x:v>向下兼容PCIe 2.0 x1；理论单向有效4Gb/s高于2.5GbE需求，但需主板空间与固件识别实测</x:v>
      </x:c>
      <x:c r="F6" s="283" t="str">
        <x:v>入住前后可分期</x:v>
      </x:c>
      <x:c r="G6" s="283" t="str">
        <x:v>待核验</x:v>
      </x:c>
      <x:c r="H6" s="283" t="str">
        <x:v>https://www.tp-link.com/us/home-networking/pci-adapter/tx201/#specifications 2026-10-16读取官网</x:v>
      </x:c>
      <x:c r="I6" s="262"/>
      <x:c r="J6" s="262"/>
    </x:row>
    <x:row r="7" ht="42" customHeight="1">
      <x:c r="A7" s="289" t="str">
        <x:v>J-02</x:v>
      </x:c>
      <x:c r="B7" s="289" t="str">
        <x:v>J3455驱动/芯片</x:v>
      </x:c>
      <x:c r="C7" s="289" t="str">
        <x:v>按实际发货硬件版本核验，不只认TX201型号</x:v>
      </x:c>
      <x:c r="D7" s="289" t="str">
        <x:v>官网列Linux但没有保证所有Proxmox内核免驱；不得据此承诺即插即用</x:v>
      </x:c>
      <x:c r="E7" s="289" t="str">
        <x:v>到货前确认芯片/PCI ID和退换；到货后用lspci -nnk、uname -r、ethtool确认驱动与2.5G协商。RTL8125类核r8169/r8125，具体以实机为准</x:v>
      </x:c>
      <x:c r="F7" s="289" t="str">
        <x:v>升级前</x:v>
      </x:c>
      <x:c r="G7" s="289" t="str">
        <x:v>待核验</x:v>
      </x:c>
      <x:c r="H7" s="289" t="str">
        <x:v>不为桌面网卡强行选无维护的第三方内核/DKMS；若当前稳定则保留旧网口作回退</x:v>
      </x:c>
      <x:c r="I7" s="262"/>
      <x:c r="J7" s="262"/>
    </x:row>
    <x:row r="8" ht="42" customHeight="1">
      <x:c r="A8" s="289" t="str">
        <x:v>J-03</x:v>
      </x:c>
      <x:c r="B8" s="289" t="str">
        <x:v>Proxmox桥接迁移</x:v>
      </x:c>
      <x:c r="C8" s="289" t="str">
        <x:v>HA/黑群晖VM共享宿主Linux bridge</x:v>
      </x:c>
      <x:c r="D8" s="289" t="str">
        <x:v>通常不需把整张网卡直通HA；原1G口保留</x:v>
      </x:c>
      <x:c r="E8" s="289" t="str">
        <x:v>先备份/etc/network/interfaces并留本地键盘显示器；确认新接口名，再在维护窗口改bridge物理口；验证VM与代理后再移除旧上联</x:v>
      </x:c>
      <x:c r="F8" s="289" t="str">
        <x:v>升级时</x:v>
      </x:c>
      <x:c r="G8" s="289" t="str">
        <x:v>待核验</x:v>
      </x:c>
      <x:c r="H8" s="289" t="str">
        <x:v>不在当前工作中改现网；升级失败可接回原1G口</x:v>
      </x:c>
      <x:c r="I8" s="262"/>
      <x:c r="J8" s="262"/>
    </x:row>
    <x:row r="9" ht="42" customHeight="1">
      <x:c r="A9" s="289" t="str">
        <x:v>J-04</x:v>
      </x:c>
      <x:c r="B9" s="289" t="str">
        <x:v>J3455网卡验收</x:v>
      </x:c>
      <x:c r="C9" s="289" t="str">
        <x:v>PCIe协商、吞吐、热稳定性与断线恢复</x:v>
      </x:c>
      <x:c r="D9" s="289" t="str">
        <x:v>PCIe 2.0 x1单向约4Gb/s（编码后、未扣TLP开销）；不要误降到PCIe 1.x x1</x:v>
      </x:c>
      <x:c r="E9" s="289" t="str">
        <x:v>检查LnkSta；iperf3双向分别测、CPU占用、24–72h连续传输、VM并发和重启恢复；磁盘/代理/CPU可成为其他瓶颈</x:v>
      </x:c>
      <x:c r="F9" s="289" t="str">
        <x:v>升级后</x:v>
      </x:c>
      <x:c r="G9" s="289" t="str">
        <x:v>待核验</x:v>
      </x:c>
      <x:c r="H9" s="289" t="str">
        <x:v>2.5Gbps标称约312.5MB/s原始比特换算，不等于文件复制保证值</x:v>
      </x:c>
      <x:c r="I9" s="262"/>
      <x:c r="J9" s="262"/>
    </x:row>
    <x:row r="10" ht="42" customHeight="1">
      <x:c r="A10" s="289" t="str">
        <x:v>N-01</x:v>
      </x:c>
      <x:c r="B10" s="289" t="str">
        <x:v>未来高速NAS</x:v>
      </x:c>
      <x:c r="C10" s="289" t="str">
        <x:v>NAS自带10G SFP+</x:v>
      </x:c>
      <x:c r="D10" s="289" t="str">
        <x:v>不采购NAS 10G SFP+网卡</x:v>
      </x:c>
      <x:c r="E10" s="289" t="str">
        <x:v>NAS靠近工作室ES210；短距离介质在NAS实物到位后从兼容DAC或模块+光纤中选择</x:v>
      </x:c>
      <x:c r="F10" s="289" t="str">
        <x:v>入住后</x:v>
      </x:c>
      <x:c r="G10" s="289" t="str">
        <x:v>后置</x:v>
      </x:c>
      <x:c r="H10" s="289" t="str">
        <x:v>不埋墙；不把NAS网卡写入当前采购</x:v>
      </x:c>
      <x:c r="I10" s="262"/>
      <x:c r="J10" s="262"/>
    </x:row>
    <x:row r="11" ht="40" customHeight="1">
      <x:c r="A11" s="289" t="str">
        <x:v>N-02</x:v>
      </x:c>
      <x:c r="B11" s="289" t="str">
        <x:v>SM5310-T</x:v>
      </x:c>
      <x:c r="C11" s="289" t="str">
        <x:v>SFP+→10G RJ45铜模块</x:v>
      </x:c>
      <x:c r="D11" s="289" t="str">
        <x:v>让没有原生10G RJ45的设备通过SFP+槽接Cat6A铜缆</x:v>
      </x:c>
      <x:c r="E11" s="289" t="str">
        <x:v>工作室保留ES210XPP原生10G RJ45，Mac直连，因此本第三版不买</x:v>
      </x:c>
      <x:c r="F11" s="289" t="str">
        <x:v>当前不需要</x:v>
      </x:c>
      <x:c r="G11" s="289" t="str">
        <x:v>不采购</x:v>
      </x:c>
      <x:c r="H11" s="289" t="str">
        <x:v>未来若换成无原生10G铜口的交换机才重新核兼容性</x:v>
      </x:c>
      <x:c r="I11" s="262"/>
      <x:c r="J11" s="262"/>
    </x:row>
    <x:row r="12" ht="42" customHeight="1">
      <x:c r="A12" s="289" t="str">
        <x:v>U-01</x:v>
      </x:c>
      <x:c r="B12" s="289" t="str">
        <x:v>UPS</x:v>
      </x:c>
      <x:c r="C12" s="289" t="str">
        <x:v>后备供电设备</x:v>
      </x:c>
      <x:c r="D12" s="289" t="str">
        <x:v>搬入后按中央/工作室/大厅实测负载选择</x:v>
      </x:c>
      <x:c r="E12" s="289" t="str">
        <x:v>目标至少1小时只是规划目标；先预留插座、承重、旁路和关机策略，不在当前核心BOM下单</x:v>
      </x:c>
      <x:c r="F12" s="289" t="str">
        <x:v>入住后</x:v>
      </x:c>
      <x:c r="G12" s="289" t="str">
        <x:v>后置</x:v>
      </x:c>
      <x:c r="H12" s="289" t="str">
        <x:v>按当地电压/接地和厂家续航曲线选，不套美国120V型号</x:v>
      </x:c>
      <x:c r="I12" s="262"/>
      <x:c r="J12" s="262"/>
    </x:row>
    <x:row r="13" ht="42" customHeight="1">
      <x:c r="A13" s="289" t="str">
        <x:v>R-01</x:v>
      </x:c>
      <x:c r="B13" s="289" t="str">
        <x:v>树莓派</x:v>
      </x:c>
      <x:c r="C13" s="289" t="str">
        <x:v>已有设备，按需使用</x:v>
      </x:c>
      <x:c r="D13" s="289" t="str">
        <x:v>可做临时服务/备份/实验，但当前Fusion已内置Omada控制器</x:v>
      </x:c>
      <x:c r="E13" s="289" t="str">
        <x:v>不新增树莓派、不为Omada单独买控制器；HA主计划仍在J3455 Proxmox独立HAOS VM</x:v>
      </x:c>
      <x:c r="F13" s="289" t="str">
        <x:v>入住后</x:v>
      </x:c>
      <x:c r="G13" s="289" t="str">
        <x:v>可选</x:v>
      </x:c>
      <x:c r="H13" s="289" t="str">
        <x:v>本表不计购置价</x:v>
      </x:c>
      <x:c r="I13" s="262"/>
      <x:c r="J13" s="262"/>
    </x:row>
    <x:row r="14" ht="42" customHeight="1">
      <x:c r="A14" s="289" t="str">
        <x:v>D-01</x:v>
      </x:c>
      <x:c r="B14" s="289" t="str">
        <x:v>壁挂中控显示屏</x:v>
      </x:c>
      <x:c r="C14" s="289" t="str">
        <x:v>已有杂牌安卓优先；备选二手iPad mini/便宜iPad</x:v>
      </x:c>
      <x:c r="D14" s="289" t="str">
        <x:v>非壁挂HomeView；显示HA面板/家庭控制UI</x:v>
      </x:c>
      <x:c r="E14" s="289" t="str">
        <x:v>型号、数量、墙面点位、支架、长期供电和散热未定；只预留电源和Wi-Fi</x:v>
      </x:c>
      <x:c r="F14" s="289" t="str">
        <x:v>入住后</x:v>
      </x:c>
      <x:c r="G14" s="289" t="str">
        <x:v>待确认</x:v>
      </x:c>
      <x:c r="H14" s="289" t="str">
        <x:v>不承担路由、PoE或Thread边界路由角色</x:v>
      </x:c>
      <x:c r="I14" s="262"/>
      <x:c r="J14" s="262"/>
    </x:row>
    <x:row r="15" ht="42" customHeight="1">
      <x:c r="A15" s="289" t="str">
        <x:v>D-02</x:v>
      </x:c>
      <x:c r="B15" s="289" t="str">
        <x:v>Apple智能终端</x:v>
      </x:c>
      <x:c r="C15" s="289" t="str">
        <x:v>用户计划的大厅Wi-Fi家庭终端及HomePod</x:v>
      </x:c>
      <x:c r="D15" s="289" t="str">
        <x:v>不属于本表核心网络硬件，也不在本次重新核验发布/售价</x:v>
      </x:c>
      <x:c r="E15" s="289" t="str">
        <x:v>按计划走大厅/本房Wi-Fi和普通电源；不为其购买PoE底座或重复Apple TV</x:v>
      </x:c>
      <x:c r="F15" s="289" t="str">
        <x:v>入住后</x:v>
      </x:c>
      <x:c r="G15" s="289" t="str">
        <x:v>范围外</x:v>
      </x:c>
      <x:c r="H15" s="289" t="str">
        <x:v>硬件能力和发布状态另以购买时苹果官网核验；此表不重复传播历史产品报价</x:v>
      </x:c>
      <x:c r="I15" s="262"/>
      <x:c r="J15" s="262"/>
    </x:row>
    <x:row r="16" ht="42" customHeight="1">
      <x:c r="A16" s="289" t="str">
        <x:v>M-01</x:v>
      </x:c>
      <x:c r="B16" s="289" t="str">
        <x:v>已有媒体设备</x:v>
      </x:c>
      <x:c r="C16" s="289" t="str">
        <x:v>Apple TV 4K旧款 + 米家激光投影仪</x:v>
      </x:c>
      <x:c r="D16" s="289" t="str">
        <x:v>各1，复用</x:v>
      </x:c>
      <x:c r="E16" s="289" t="str">
        <x:v>可直连工作室ES210或改接EAP775-Wall的1G下联；不新增采购。米家设备仅是已有投影例外，不扩展品牌采购</x:v>
      </x:c>
      <x:c r="F16" s="289" t="str">
        <x:v>入住前接入</x:v>
      </x:c>
      <x:c r="G16" s="289" t="str">
        <x:v>已有/复用</x:v>
      </x:c>
      <x:c r="H16" s="289" t="str">
        <x:v>按实机接口和点位确认</x:v>
      </x:c>
      <x:c r="I16" s="262"/>
      <x:c r="J16" s="262"/>
    </x:row>
  </x:sheetData>
  <x:mergeCells>
    <x:mergeCell ref="A1:J1"/>
    <x:mergeCell ref="A2:J3"/>
    <x:mergeCell ref="A4:J4"/>
  </x:mergeCells>
  <x:conditionalFormatting sqref="G6:G16">
    <x:cfRule type="expression" dxfId="16" priority="1">
      <x:formula>OR($G6="已确定",$G6="已确认",$G6="已验收",$G6="已有/复用")</x:formula>
    </x:cfRule>
    <x:cfRule type="expression" dxfId="17" priority="2">
      <x:formula>OR($G6="待确认",$G6="待复尺",$G6="待核验",$G6="暂选",$G6="暂定")</x:formula>
    </x:cfRule>
    <x:cfRule type="expression" dxfId="18" priority="3">
      <x:formula>OR($G6="入住后",$G6="后置",$G6="可选")</x:formula>
    </x:cfRule>
    <x:cfRule type="expression" dxfId="19" priority="4">
      <x:formula>OR($G6="不采购",$G6="不需要")</x:formula>
    </x:cfRule>
    <x:cfRule type="expression" dxfId="20" priority="5">
      <x:formula>OR($G6="风险",$G6="有遗留问题")</x:formula>
    </x:cfRule>
  </x:conditionalFormatting>
  <x:hyperlinks>
    <x:hyperlink xmlns:r="http://schemas.openxmlformats.org/officeDocument/2006/relationships" ref="H6" r:id="Rbf845505fe1649c8"/>
  </x:hyperlinks>
  <x:pageMargins left="0.7" right="0.7" top="0.75" bottom="0.75" header="0.3" footer="0.3"/>
  <x:tableParts count="1">
    <x:tablePart xmlns:r="http://schemas.openxmlformats.org/officeDocument/2006/relationships" r:id="Rf84af2d22bd14fd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46" hidden="0" customWidth="1"/>
    <x:col min="5" max="5" width="48" hidden="0" customWidth="1"/>
    <x:col min="6" max="6" width="22" hidden="0" customWidth="1"/>
    <x:col min="7" max="7" width="14" hidden="0" customWidth="1"/>
    <x:col min="8" max="8" width="18" hidden="0" customWidth="1"/>
    <x:col min="9" max="9" width="28" hidden="0" customWidth="1"/>
    <x:col min="10" max="10" width="28" hidden="0" customWidth="1"/>
  </x:cols>
  <x:sheetData>
    <x:row r="1" ht="32" customHeight="1">
      <x:c r="A1" s="338" t="str">
        <x:v>入住前后实施顺序与验收表</x:v>
      </x:c>
      <x:c r="B1" s="254"/>
      <x:c r="C1" s="254"/>
      <x:c r="D1" s="254"/>
      <x:c r="E1" s="254"/>
      <x:c r="F1" s="254"/>
      <x:c r="G1" s="254"/>
      <x:c r="H1" s="254"/>
      <x:c r="I1" s="254"/>
      <x:c r="J1" s="254"/>
    </x:row>
    <x:row r="2" ht="22" customHeight="1">
      <x:c r="A2" s="255" t="str">
        <x:v>把装修施工、设备安装、网络配置和后置升级拆开；每一项完成后由施工方或业主填入日期/证据。</x:v>
      </x:c>
      <x:c r="B2" s="255"/>
      <x:c r="C2" s="255"/>
      <x:c r="D2" s="255"/>
      <x:c r="E2" s="255"/>
      <x:c r="F2" s="255"/>
      <x:c r="G2" s="255"/>
      <x:c r="H2" s="255"/>
      <x:c r="I2" s="255"/>
      <x:c r="J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</x:row>
    <x:row r="4" ht="28" customHeight="1">
      <x:c r="A4" s="265" t="str">
        <x:v>阶段任务</x:v>
      </x:c>
      <x:c r="B4" s="266"/>
      <x:c r="C4" s="266"/>
      <x:c r="D4" s="266"/>
      <x:c r="E4" s="266"/>
      <x:c r="F4" s="266"/>
      <x:c r="G4" s="266"/>
      <x:c r="H4" s="266"/>
      <x:c r="I4" s="266"/>
      <x:c r="J4" s="267"/>
    </x:row>
    <x:row r="5" ht="27" customHeight="1">
      <x:c r="A5" s="19" t="str">
        <x:v>编号</x:v>
      </x:c>
      <x:c r="B5" s="20" t="str">
        <x:v>阶段</x:v>
      </x:c>
      <x:c r="C5" s="20" t="str">
        <x:v>任务</x:v>
      </x:c>
      <x:c r="D5" s="20" t="str">
        <x:v>执行内容</x:v>
      </x:c>
      <x:c r="E5" s="20" t="str">
        <x:v>验收证据/通过条件</x:v>
      </x:c>
      <x:c r="F5" s="20" t="str">
        <x:v>负责人</x:v>
      </x:c>
      <x:c r="G5" s="20" t="str">
        <x:v>状态</x:v>
      </x:c>
      <x:c r="H5" s="20" t="str">
        <x:v>完成/验收日期</x:v>
      </x:c>
      <x:c r="I5" s="20" t="str">
        <x:v>证据/报告路径</x:v>
      </x:c>
      <x:c r="J5" s="21" t="str">
        <x:v>遗留问题/签字</x:v>
      </x:c>
    </x:row>
    <x:row r="6" ht="42" customHeight="1">
      <x:c r="A6" s="283" t="str">
        <x:v>S1</x:v>
      </x:c>
      <x:c r="B6" s="283" t="str">
        <x:v>入住前/方案</x:v>
      </x:c>
      <x:c r="C6" s="283" t="str">
        <x:v>现场复尺与正式图纸</x:v>
      </x:c>
      <x:c r="D6" s="283" t="str">
        <x:v>确认房间边界、墙材、家具、弱电箱/两房间箱位置、AP高度和吊顶承重</x:v>
      </x:c>
      <x:c r="E6" s="283" t="str">
        <x:v>正式点位图+箱体尺寸+电源位置</x:v>
      </x:c>
      <x:c r="F6" s="283" t="str">
        <x:v>业主+装修公司</x:v>
      </x:c>
      <x:c r="G6" s="283" t="str">
        <x:v>待确认</x:v>
      </x:c>
      <x:c r="H6" s="336"/>
      <x:c r="I6" s="309"/>
      <x:c r="J6" s="309"/>
    </x:row>
    <x:row r="7" ht="40" customHeight="1">
      <x:c r="A7" s="289" t="str">
        <x:v>S2</x:v>
      </x:c>
      <x:c r="B7" s="289" t="str">
        <x:v>入住前/采购</x:v>
      </x:c>
      <x:c r="C7" s="289" t="str">
        <x:v>锁定核心网络型号</x:v>
      </x:c>
      <x:c r="D7" s="289" t="str">
        <x:v>3A中央ES206XPP；3B改Fusion PoE并删除中央。工作室/大厅PoE保留；三频EAP775-Wall×2与EAP772×1，无注入器/铜模块；大陆6GHz不作保证验收</x:v>
      </x:c>
      <x:c r="E7" s="289" t="str">
        <x:v>版本照片、V2书面报价、控制器兼容及退换确认；3B另核供货、电源铭牌和风扇噪声</x:v>
      </x:c>
      <x:c r="F7" s="289" t="str">
        <x:v>业主+供应商</x:v>
      </x:c>
      <x:c r="G7" s="289" t="str">
        <x:v>待确认</x:v>
      </x:c>
      <x:c r="H7" s="337"/>
      <x:c r="I7" s="312"/>
      <x:c r="J7" s="312"/>
    </x:row>
    <x:row r="8" ht="27" customHeight="1">
      <x:c r="A8" s="289" t="str">
        <x:v>S3</x:v>
      </x:c>
      <x:c r="B8" s="289" t="str">
        <x:v>水电阶段</x:v>
      </x:c>
      <x:c r="C8" s="289" t="str">
        <x:v>施工四条主干与分支</x:v>
      </x:c>
      <x:c r="D8" s="289" t="str">
        <x:v>铺Cat6A实芯纯铜、空管、牵引线、分支和端接点</x:v>
      </x:c>
      <x:c r="E8" s="289" t="str">
        <x:v>不要CCA；强弱电分隔；每条编号；保留弯曲余量</x:v>
      </x:c>
      <x:c r="F8" s="289" t="str">
        <x:v>装修公司</x:v>
      </x:c>
      <x:c r="G8" s="289" t="str">
        <x:v>未开始</x:v>
      </x:c>
      <x:c r="H8" s="337"/>
      <x:c r="I8" s="312"/>
      <x:c r="J8" s="312"/>
    </x:row>
    <x:row r="9" ht="40" customHeight="1">
      <x:c r="A9" s="289" t="str">
        <x:v>S4</x:v>
      </x:c>
      <x:c r="B9" s="289" t="str">
        <x:v>水电阶段</x:v>
      </x:c>
      <x:c r="C9" s="289" t="str">
        <x:v>箱体、AP安装位与电源</x:v>
      </x:c>
      <x:c r="D9" s="289" t="str">
        <x:v>中央设备位、两房间箱、两处面板 AP 底盒、一处大厅吊顶 AP 位；次卧 RJ45 墙口和可选旧路由器市电位置</x:v>
      </x:c>
      <x:c r="E9" s="289" t="str">
        <x:v>中央/两房间箱通风且可维护；AP不进金属箱；无需四个供电器位置</x:v>
      </x:c>
      <x:c r="F9" s="289" t="str">
        <x:v>装修公司</x:v>
      </x:c>
      <x:c r="G9" s="289" t="str">
        <x:v>未开始</x:v>
      </x:c>
      <x:c r="H9" s="337"/>
      <x:c r="I9" s="312"/>
      <x:c r="J9" s="312"/>
    </x:row>
    <x:row r="10" ht="27" customHeight="1">
      <x:c r="A10" s="289" t="str">
        <x:v>S5</x:v>
      </x:c>
      <x:c r="B10" s="289" t="str">
        <x:v>弱电施工</x:v>
      </x:c>
      <x:c r="C10" s="289" t="str">
        <x:v>端接与认证</x:v>
      </x:c>
      <x:c r="D10" s="289" t="str">
        <x:v>完成配线、MPTL/模块、标签和Cat6A认证</x:v>
      </x:c>
      <x:c r="E10" s="289" t="str">
        <x:v>提交线序、长度、性能报告和竣工照片</x:v>
      </x:c>
      <x:c r="F10" s="289" t="str">
        <x:v>弱电公司</x:v>
      </x:c>
      <x:c r="G10" s="289" t="str">
        <x:v>未开始</x:v>
      </x:c>
      <x:c r="H10" s="337"/>
      <x:c r="I10" s="312"/>
      <x:c r="J10" s="312"/>
    </x:row>
    <x:row r="11" ht="40" customHeight="1">
      <x:c r="A11" s="289" t="str">
        <x:v>S6</x:v>
      </x:c>
      <x:c r="B11" s="289" t="str">
        <x:v>入住前</x:v>
      </x:c>
      <x:c r="C11" s="289" t="str">
        <x:v>安装基础设备</x:v>
      </x:c>
      <x:c r="D11" s="289" t="str">
        <x:v>3A 普通 Fusion+中央 ES206XPP，或 3B Fusion PoE；工作室/大厅交换机 PoE 保留，首期三台 Omada AP。次卧只验收线缆墙口。</x:v>
      </x:c>
      <x:c r="E11" s="289" t="str">
        <x:v>记录三台 AP 供电端口、冷启动和功率；次卧端口默认关闭 PoE；旧路由器如启用单独测有线 AP、DHCP 和漫游。</x:v>
      </x:c>
      <x:c r="F11" s="289" t="str">
        <x:v>网络供应商</x:v>
      </x:c>
      <x:c r="G11" s="289" t="str">
        <x:v>未开始</x:v>
      </x:c>
      <x:c r="H11" s="337"/>
      <x:c r="I11" s="312"/>
      <x:c r="J11" s="312"/>
    </x:row>
    <x:row r="12" ht="40" customHeight="1">
      <x:c r="A12" s="289" t="str">
        <x:v>S7</x:v>
      </x:c>
      <x:c r="B12" s="289" t="str">
        <x:v>入住前</x:v>
      </x:c>
      <x:c r="C12" s="289" t="str">
        <x:v>基础配置</x:v>
      </x:c>
      <x:c r="D12" s="289" t="str">
        <x:v>Fusion 接管全部新购 Omada 设备；TL-7DR3630 若启用则独立管理，不列入 adoption 失败项。</x:v>
      </x:c>
      <x:c r="E12" s="289" t="str">
        <x:v>各实际版本均adopt成功，端口/VLAN配置和备份恢复可用</x:v>
      </x:c>
      <x:c r="F12" s="289" t="str">
        <x:v>网络供应商</x:v>
      </x:c>
      <x:c r="G12" s="289" t="str">
        <x:v>未开始</x:v>
      </x:c>
      <x:c r="H12" s="337"/>
      <x:c r="I12" s="312"/>
      <x:c r="J12" s="312"/>
    </x:row>
    <x:row r="13" ht="40" customHeight="1">
      <x:c r="A13" s="289" t="str">
        <x:v>S8</x:v>
      </x:c>
      <x:c r="B13" s="289" t="str">
        <x:v>入住前</x:v>
      </x:c>
      <x:c r="C13" s="289" t="str">
        <x:v>链路和PoE验收</x:v>
      </x:c>
      <x:c r="D13" s="289" t="str">
        <x:v>2.5G主干、Mac10G、面板四下联/双频；PoE协商、冷启动、无线有线并发；3B跨房双流</x:v>
      </x:c>
      <x:c r="E13" s="289" t="str">
        <x:v>记录PoE分配/实耗和断电恢复；禁止AP PoE Out；若bt分配超规划先重算</x:v>
      </x:c>
      <x:c r="F13" s="289" t="str">
        <x:v>网络供应商+业主</x:v>
      </x:c>
      <x:c r="G13" s="289" t="str">
        <x:v>未开始</x:v>
      </x:c>
      <x:c r="H13" s="337"/>
      <x:c r="I13" s="312"/>
      <x:c r="J13" s="312"/>
    </x:row>
    <x:row r="14" ht="27" customHeight="1">
      <x:c r="A14" s="289" t="str">
        <x:v>S9</x:v>
      </x:c>
      <x:c r="B14" s="289" t="str">
        <x:v>入住前后可分期</x:v>
      </x:c>
      <x:c r="C14" s="289" t="str">
        <x:v>J3455升级</x:v>
      </x:c>
      <x:c r="D14" s="289" t="str">
        <x:v>按兼容表选PCIe x1 2.5G网卡并迁移Proxmox bridge</x:v>
      </x:c>
      <x:c r="E14" s="289" t="str">
        <x:v>确认驱动、2.5G协商、HAOS/黑群晖VM、断线恢复和回退方式</x:v>
      </x:c>
      <x:c r="F14" s="289" t="str">
        <x:v>业主/IT</x:v>
      </x:c>
      <x:c r="G14" s="289" t="str">
        <x:v>待确认</x:v>
      </x:c>
      <x:c r="H14" s="337"/>
      <x:c r="I14" s="312"/>
      <x:c r="J14" s="312"/>
    </x:row>
    <x:row r="15" ht="27" customHeight="1">
      <x:c r="A15" s="289" t="str">
        <x:v>S10</x:v>
      </x:c>
      <x:c r="B15" s="289" t="str">
        <x:v>入住后</x:v>
      </x:c>
      <x:c r="C15" s="289" t="str">
        <x:v>HAOS与协调器</x:v>
      </x:c>
      <x:c r="D15" s="289" t="str">
        <x:v>J3455独立HAOS VM；大厅墙口二选一网关/协调器</x:v>
      </x:c>
      <x:c r="E15" s="289" t="str">
        <x:v>HA能控制设备；Thread/Zigbee路径、mDNS/组播按实际验证</x:v>
      </x:c>
      <x:c r="F15" s="289" t="str">
        <x:v>业主/智能家居公司</x:v>
      </x:c>
      <x:c r="G15" s="289" t="str">
        <x:v>后置</x:v>
      </x:c>
      <x:c r="H15" s="337"/>
      <x:c r="I15" s="312"/>
      <x:c r="J15" s="312"/>
    </x:row>
    <x:row r="16" ht="27" customHeight="1">
      <x:c r="A16" s="289" t="str">
        <x:v>S11</x:v>
      </x:c>
      <x:c r="B16" s="289" t="str">
        <x:v>入住后</x:v>
      </x:c>
      <x:c r="C16" s="289" t="str">
        <x:v>NAS与SFP+介质</x:v>
      </x:c>
      <x:c r="D16" s="289" t="str">
        <x:v>确认NAS自带SFP+后选择DAC或模块+光纤</x:v>
      </x:c>
      <x:c r="E16" s="289" t="str">
        <x:v>Mac↔NAS同交换机10G；记录接口、介质、温度和备份</x:v>
      </x:c>
      <x:c r="F16" s="289" t="str">
        <x:v>业主/IT</x:v>
      </x:c>
      <x:c r="G16" s="289" t="str">
        <x:v>后置</x:v>
      </x:c>
      <x:c r="H16" s="337"/>
      <x:c r="I16" s="312"/>
      <x:c r="J16" s="312"/>
    </x:row>
    <x:row r="17" ht="42" customHeight="1">
      <x:c r="A17" s="289" t="str">
        <x:v>S12</x:v>
      </x:c>
      <x:c r="B17" s="289" t="str">
        <x:v>入住后</x:v>
      </x:c>
      <x:c r="C17" s="289" t="str">
        <x:v>UPS与壁挂中控</x:v>
      </x:c>
      <x:c r="D17" s="289" t="str">
        <x:v>按实测负载增添UPS；已有安卓可用则复用，否则二手iPad mini/低价iPad</x:v>
      </x:c>
      <x:c r="E17" s="289" t="str">
        <x:v>UPS续航与有序关机通过；平板可运行HA面板并可维护</x:v>
      </x:c>
      <x:c r="F17" s="289" t="str">
        <x:v>业主</x:v>
      </x:c>
      <x:c r="G17" s="289" t="str">
        <x:v>后置</x:v>
      </x:c>
      <x:c r="H17" s="337"/>
      <x:c r="I17" s="312"/>
      <x:c r="J17" s="312"/>
    </x:row>
  </x:sheetData>
  <x:mergeCells>
    <x:mergeCell ref="A1:J1"/>
    <x:mergeCell ref="A2:J3"/>
    <x:mergeCell ref="A4:J4"/>
  </x:mergeCells>
  <x:conditionalFormatting sqref="G6:G17">
    <x:cfRule type="expression" dxfId="21" priority="1">
      <x:formula>OR($G6="已确定",$G6="已确认",$G6="已验收",$G6="已有/复用")</x:formula>
    </x:cfRule>
    <x:cfRule type="expression" dxfId="22" priority="2">
      <x:formula>OR($G6="待确认",$G6="待复尺",$G6="待核验",$G6="暂选",$G6="暂定")</x:formula>
    </x:cfRule>
    <x:cfRule type="expression" dxfId="23" priority="3">
      <x:formula>OR($G6="入住后",$G6="后置",$G6="可选")</x:formula>
    </x:cfRule>
    <x:cfRule type="expression" dxfId="24" priority="4">
      <x:formula>OR($G6="不采购",$G6="不需要")</x:formula>
    </x:cfRule>
    <x:cfRule type="expression" dxfId="25" priority="5">
      <x:formula>OR($G6="风险",$G6="有遗留问题")</x:formula>
    </x:cfRule>
  </x:conditionalFormatting>
  <x:dataValidations count="1">
    <x:dataValidation type="list" sqref="G6:G17">
      <x:formula1>"待确认,未开始,进行中,待验收,有遗留问题,已验收,后置"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2847a7d9604f0e"/>
  </x:tableParts>
</x:worksheet>
</file>

<file path=xl/worksheets/sheet8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26" hidden="0" customWidth="1"/>
    <x:col min="2" max="2" width="60" hidden="0" customWidth="1"/>
    <x:col min="3" max="3" width="56" hidden="0" customWidth="1"/>
    <x:col min="4" max="4" width="16" hidden="0" customWidth="1"/>
  </x:cols>
  <x:sheetData>
    <x:row r="1" ht="32" customHeight="1">
      <x:c r="A1" s="338" t="str">
        <x:v>来源、定义与交付边界</x:v>
      </x:c>
      <x:c r="B1" s="254"/>
      <x:c r="C1" s="254"/>
      <x:c r="D1" s="254"/>
      <x:c r="E1" s="254"/>
      <x:c r="F1" s="254"/>
      <x:c r="G1" s="254"/>
      <x:c r="H1" s="254"/>
      <x:c r="I1" s="254"/>
    </x:row>
    <x:row r="2" ht="22" customHeight="1">
      <x:c r="A2" s="255" t="str">
        <x:v>2026-10-20：型号、报价、链接和方案状态见采购数据；Amazon标题与端口核对记录见网络链接核对文档。官方规格的原核验日期保留。</x:v>
      </x:c>
      <x:c r="B2" s="255"/>
      <x:c r="C2" s="255"/>
      <x:c r="D2" s="255"/>
      <x:c r="E2" s="255"/>
      <x:c r="F2" s="255"/>
      <x:c r="G2" s="255"/>
      <x:c r="H2" s="255"/>
      <x:c r="I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</x:row>
    <x:row r="4" ht="28" customHeight="1">
      <x:c r="A4" s="265" t="str">
        <x:v>术语与边界</x:v>
      </x:c>
      <x:c r="B4" s="266"/>
      <x:c r="C4" s="266"/>
      <x:c r="D4" s="266"/>
      <x:c r="E4" s="266"/>
      <x:c r="F4" s="267"/>
      <x:c r="G4" s="262"/>
      <x:c r="H4" s="262"/>
      <x:c r="I4" s="262"/>
    </x:row>
    <x:row r="5" ht="27" customHeight="1">
      <x:c r="A5" s="19" t="str">
        <x:v>术语</x:v>
      </x:c>
      <x:c r="B5" s="21" t="str">
        <x:v>定义</x:v>
      </x:c>
      <x:c r="C5" s="262"/>
      <x:c r="D5" s="262"/>
      <x:c r="E5" s="262"/>
      <x:c r="F5" s="262"/>
      <x:c r="G5" s="262"/>
      <x:c r="H5" s="262"/>
      <x:c r="I5" s="262"/>
    </x:row>
    <x:row r="6" ht="42" customHeight="1">
      <x:c r="A6" s="283" t="str">
        <x:v>AC</x:v>
      </x:c>
      <x:c r="B6" s="283" t="str">
        <x:v>本项目指主路由器/网关，负责WAN、NAT、防火墙、DHCP；不是空调，也不是独立无线控制器。</x:v>
      </x:c>
      <x:c r="C6" s="262"/>
      <x:c r="D6" s="262"/>
      <x:c r="E6" s="262"/>
      <x:c r="F6" s="262"/>
      <x:c r="G6" s="262"/>
      <x:c r="H6" s="262"/>
      <x:c r="I6" s="262"/>
    </x:row>
    <x:row r="7" ht="27" customHeight="1">
      <x:c r="A7" s="289" t="str">
        <x:v>2.5G全屋基线</x:v>
      </x:c>
      <x:c r="B7" s="289" t="str">
        <x:v>四条中央Cat6A主干与房间上联目标2.5GbE；不代表每个终端都能跑2.5G。</x:v>
      </x:c>
      <x:c r="C7" s="262"/>
      <x:c r="D7" s="262"/>
      <x:c r="E7" s="262"/>
      <x:c r="F7" s="262"/>
      <x:c r="G7" s="262"/>
      <x:c r="H7" s="262"/>
      <x:c r="I7" s="262"/>
    </x:row>
    <x:row r="8" ht="40" customHeight="1">
      <x:c r="A8" s="289" t="str">
        <x:v>10G局部链路</x:v>
      </x:c>
      <x:c r="B8" s="289" t="str">
        <x:v>工作室ES210XPP的原生10G RJ45给Mac，独立10G SFP+给未来NAS；同交换机同VLAN本地交换不走2.5G上联。</x:v>
      </x:c>
      <x:c r="C8" s="262"/>
      <x:c r="D8" s="262"/>
      <x:c r="E8" s="262"/>
      <x:c r="F8" s="262"/>
      <x:c r="G8" s="262"/>
      <x:c r="H8" s="262"/>
      <x:c r="I8" s="262"/>
    </x:row>
    <x:row r="9" ht="36" customHeight="1">
      <x:c r="A9" s="289" t="str">
        <x:v>SM5310-T</x:v>
      </x:c>
      <x:c r="B9" s="289" t="str">
        <x:v>本第三版不需要：ES210XPP已有原生10G RJ45。仅未来更换无10G铜口交换机时重新评估。</x:v>
      </x:c>
      <x:c r="C9" s="262"/>
      <x:c r="D9" s="262"/>
      <x:c r="E9" s="262"/>
      <x:c r="F9" s="262"/>
      <x:c r="G9" s="262"/>
      <x:c r="H9" s="262"/>
      <x:c r="I9" s="262"/>
    </x:row>
    <x:row r="10" ht="42" customHeight="1">
      <x:c r="A10" s="289" t="str">
        <x:v>NAS介质</x:v>
      </x:c>
      <x:c r="B10" s="289" t="str">
        <x:v>NAS到交换机很近，入住后按实际SFP+兼容性选择DAC或光模块+光纤；不把DAC或光纤封埋在墙内。</x:v>
      </x:c>
      <x:c r="C10" s="262"/>
      <x:c r="D10" s="262"/>
      <x:c r="E10" s="262"/>
      <x:c r="F10" s="262"/>
      <x:c r="G10" s="262"/>
      <x:c r="H10" s="262"/>
      <x:c r="I10" s="262"/>
    </x:row>
    <x:row r="11" ht="40" customHeight="1">
      <x:c r="A11" s="289" t="str">
        <x:v>PoE预算</x:v>
      </x:c>
      <x:c r="B11" s="289" t="str">
        <x:v>按支持802.3at的AP输入模式规划，每供电口PSE分配上限30W：中央两AP合计60W；工作室/大厅各30W。上限不再乘额外余量，也不是AP实耗；若实际协商bt或控制器预留更高，按实测重算。</x:v>
      </x:c>
      <x:c r="C11" s="262"/>
      <x:c r="D11" s="262"/>
      <x:c r="E11" s="262"/>
      <x:c r="F11" s="262"/>
      <x:c r="G11" s="262"/>
      <x:c r="H11" s="262"/>
      <x:c r="I11" s="262"/>
    </x:row>
    <x:row r="12" ht="42" customHeight="1">
      <x:c r="A12" s="289" t="str">
        <x:v>已有设备</x:v>
      </x:c>
      <x:c r="B12" s="289" t="str">
        <x:v>Apple TV 4K旧款、米家激光投影仪、树莓派均为已有/可复用，不新增购买；米家投影不代表扩大米家品牌采购。</x:v>
      </x:c>
      <x:c r="C12" s="262"/>
      <x:c r="D12" s="262"/>
      <x:c r="E12" s="262"/>
      <x:c r="F12" s="262"/>
      <x:c r="G12" s="262"/>
      <x:c r="H12" s="262"/>
      <x:c r="I12" s="262"/>
    </x:row>
    <x:row r="13" ht="42" customHeight="1">
      <x:c r="A13" s="289" t="str">
        <x:v>壁挂显示</x:v>
      </x:c>
      <x:c r="B13" s="289" t="str">
        <x:v>优先尝试已有杂牌安卓；不行再选二手iPad mini/低价iPad。不是HomeView壁挂版，也不是网络核心设备。</x:v>
      </x:c>
      <x:c r="C13" s="262"/>
      <x:c r="D13" s="262"/>
      <x:c r="E13" s="262"/>
      <x:c r="F13" s="262"/>
      <x:c r="G13" s="262"/>
      <x:c r="H13" s="262"/>
      <x:c r="I13" s="262"/>
    </x:row>
    <x:row r="14" ht="24" customHeight="1">
      <x:c r="A14" s="262"/>
      <x:c r="B14" s="262"/>
      <x:c r="C14" s="262"/>
      <x:c r="D14" s="262"/>
      <x:c r="E14" s="262"/>
      <x:c r="F14" s="262"/>
      <x:c r="G14" s="262"/>
      <x:c r="H14" s="262"/>
      <x:c r="I14" s="262"/>
    </x:row>
    <x:row r="15" ht="24" customHeight="1">
      <x:c r="A15" s="262"/>
      <x:c r="B15" s="262"/>
      <x:c r="C15" s="262"/>
      <x:c r="D15" s="262"/>
      <x:c r="E15" s="262"/>
      <x:c r="F15" s="262"/>
      <x:c r="G15" s="262"/>
      <x:c r="H15" s="262"/>
      <x:c r="I15" s="262"/>
    </x:row>
    <x:row r="16" ht="28" customHeight="1">
      <x:c r="A16" s="265" t="str">
        <x:v>主要来源</x:v>
      </x:c>
      <x:c r="B16" s="266"/>
      <x:c r="C16" s="266"/>
      <x:c r="D16" s="266"/>
      <x:c r="E16" s="266"/>
      <x:c r="F16" s="266"/>
      <x:c r="G16" s="267"/>
      <x:c r="H16" s="262"/>
      <x:c r="I16" s="262"/>
    </x:row>
    <x:row r="17" ht="27" customHeight="1">
      <x:c r="A17" s="19" t="str">
        <x:v>来源</x:v>
      </x:c>
      <x:c r="B17" s="20" t="str">
        <x:v>链接/路径</x:v>
      </x:c>
      <x:c r="C17" s="20" t="str">
        <x:v>用途</x:v>
      </x:c>
      <x:c r="D17" s="21" t="str">
        <x:v>类型</x:v>
      </x:c>
      <x:c r="E17" s="262"/>
      <x:c r="F17" s="262"/>
      <x:c r="G17" s="262"/>
      <x:c r="H17" s="262"/>
      <x:c r="I17" s="262"/>
    </x:row>
    <x:row r="18" ht="27" customHeight="1">
      <x:c r="A18" s="283" t="str">
        <x:v>仓库采购BOM</x:v>
      </x:c>
      <x:c r="B18" s="283" t="str">
        <x:v>docs/purchase-bom.md</x:v>
      </x:c>
      <x:c r="C18" s="283" t="str">
        <x:v>已确认/暂选/后置设备、价格、PoE和电源记录</x:v>
      </x:c>
      <x:c r="D18" s="283" t="str">
        <x:v>仓库文档</x:v>
      </x:c>
      <x:c r="E18" s="262"/>
      <x:c r="F18" s="262"/>
      <x:c r="G18" s="262"/>
      <x:c r="H18" s="262"/>
      <x:c r="I18" s="262"/>
    </x:row>
    <x:row r="19" ht="27" customHeight="1">
      <x:c r="A19" s="289" t="str">
        <x:v>网络拓扑</x:v>
      </x:c>
      <x:c r="B19" s="289" t="str">
        <x:v>docs/network-topology.md</x:v>
      </x:c>
      <x:c r="C19" s="289" t="str">
        <x:v>v1.2拓扑、端口、速率、PoE和UPS边界</x:v>
      </x:c>
      <x:c r="D19" s="289" t="str">
        <x:v>仓库文档</x:v>
      </x:c>
      <x:c r="E19" s="262"/>
      <x:c r="F19" s="262"/>
      <x:c r="G19" s="262"/>
      <x:c r="H19" s="262"/>
      <x:c r="I19" s="262"/>
    </x:row>
    <x:row r="20" ht="27" customHeight="1">
      <x:c r="A20" s="289" t="str">
        <x:v>施工需求</x:v>
      </x:c>
      <x:c r="B20" s="289" t="str">
        <x:v>docs/renovation-wiring-requirements.md</x:v>
      </x:c>
      <x:c r="C20" s="289" t="str">
        <x:v>户型、四条主干、两处房间箱、施工和验收门槛</x:v>
      </x:c>
      <x:c r="D20" s="289" t="str">
        <x:v>仓库文档</x:v>
      </x:c>
      <x:c r="E20" s="262"/>
      <x:c r="F20" s="262"/>
      <x:c r="G20" s="262"/>
      <x:c r="H20" s="262"/>
      <x:c r="I20" s="262"/>
    </x:row>
    <x:row r="21" ht="27" customHeight="1">
      <x:c r="A21" s="289" t="str">
        <x:v>设备选型</x:v>
      </x:c>
      <x:c r="B21" s="289" t="str">
        <x:v>docs/device-selection-list.md</x:v>
      </x:c>
      <x:c r="C21" s="289" t="str">
        <x:v>Omada设备、J3455/HA/NAS位置、候选交换机</x:v>
      </x:c>
      <x:c r="D21" s="289" t="str">
        <x:v>仓库文档</x:v>
      </x:c>
      <x:c r="E21" s="262"/>
      <x:c r="F21" s="262"/>
      <x:c r="G21" s="262"/>
      <x:c r="H21" s="262"/>
      <x:c r="I21" s="262"/>
    </x:row>
    <x:row r="22" ht="27" customHeight="1">
      <x:c r="A22" s="289" t="str">
        <x:v>TP-Link研究</x:v>
      </x:c>
      <x:c r="B22" s="289" t="str">
        <x:v>docs/tplink-network-research.md</x:v>
      </x:c>
      <x:c r="C22" s="289" t="str">
        <x:v>Fusion、ES210、ES206、PoE预算和SM5310-T历史用途</x:v>
      </x:c>
      <x:c r="D22" s="289" t="str">
        <x:v>仓库文档</x:v>
      </x:c>
      <x:c r="E22" s="262"/>
      <x:c r="F22" s="262"/>
      <x:c r="G22" s="262"/>
      <x:c r="H22" s="262"/>
      <x:c r="I22" s="262"/>
    </x:row>
    <x:row r="23" ht="27" customHeight="1">
      <x:c r="A23" s="289" t="str">
        <x:v>Fusion官方规格</x:v>
      </x:c>
      <x:c r="B23" s="289" t="str">
        <x:v>https://www.tp-link.com/productpages/spec/116210-3.html</x:v>
      </x:c>
      <x:c r="C23" s="289" t="str">
        <x:v>普通版主路由/内置控制器/端口与电源</x:v>
      </x:c>
      <x:c r="D23" s="289" t="str">
        <x:v>官方资料</x:v>
      </x:c>
      <x:c r="E23" s="262"/>
      <x:c r="F23" s="262"/>
      <x:c r="G23" s="262"/>
      <x:c r="H23" s="262"/>
      <x:c r="I23" s="262"/>
    </x:row>
    <x:row r="24" ht="40" customHeight="1">
      <x:c r="A24" s="289" t="str">
        <x:v>ES210XPP-M2官方规格</x:v>
      </x:c>
      <x:c r="B24" s="289" t="str">
        <x:v>https://www.omadanetworks.com/us/business-networking/omada-switch-agile/es210xpp-m2/#specifications</x:v>
      </x:c>
      <x:c r="C24" s="289" t="str">
        <x:v>工作室保留：8×2.5G PoE++/200W，原生10G RJ45与10G SFP+各1</x:v>
      </x:c>
      <x:c r="D24" s="289" t="str">
        <x:v>官方资料</x:v>
      </x:c>
      <x:c r="E24" s="262"/>
      <x:c r="F24" s="262"/>
      <x:c r="G24" s="262"/>
      <x:c r="H24" s="262"/>
      <x:c r="I24" s="262"/>
    </x:row>
    <x:row r="25" ht="40" customHeight="1">
      <x:c r="A25" s="289" t="str">
        <x:v>ES206XPP-M2官方规格</x:v>
      </x:c>
      <x:c r="B25" s="289" t="str">
        <x:v>https://www.omadanetworks.com/us/business-networking/omada-switch-agile/es206xpp-m2/#specifications</x:v>
      </x:c>
      <x:c r="C25" s="289" t="str">
        <x:v>3A中央及大厅：5×2.5G中4×PoE++，90W/口、120W总；1×10G SFP+；209×126×26mm</x:v>
      </x:c>
      <x:c r="D25" s="289" t="str">
        <x:v>官方资料</x:v>
      </x:c>
      <x:c r="E25" s="262"/>
      <x:c r="F25" s="262"/>
      <x:c r="G25" s="262"/>
      <x:c r="H25" s="262"/>
      <x:c r="I25" s="262"/>
    </x:row>
    <x:row r="26" ht="42" customHeight="1">
      <x:c r="A26" s="289" t="str">
        <x:v>EAP775-Wall 官方规格</x:v>
      </x:c>
      <x:c r="B26" s="289" t="str">
        <x:v>https://www.omadanetworks.com/us/business-networking/omada-wifi-wall-plate/eap775-wall/#specifications</x:v>
      </x:c>
      <x:c r="C26" s="289" t="str">
        <x:v>2026-10-19：三频6GHz，1×2.5G上联、1×2.5G+3×1G下联；45W含25W转供；本案禁用转供，核at/bt协商；大陆合规待核</x:v>
      </x:c>
      <x:c r="D26" s="289" t="str">
        <x:v>官方资料</x:v>
      </x:c>
      <x:c r="E26" s="262"/>
      <x:c r="F26" s="262"/>
      <x:c r="G26" s="262"/>
      <x:c r="H26" s="262"/>
      <x:c r="I26" s="262"/>
    </x:row>
    <x:row r="27" ht="42" customHeight="1">
      <x:c r="A27" s="289" t="str">
        <x:v>EAP772 官方规格</x:v>
      </x:c>
      <x:c r="B27" s="289" t="str">
        <x:v>https://www.omadanetworks.com/us/business-networking/omada-wifi-ceiling-mount/eap772/#specifications</x:v>
      </x:c>
      <x:c r="C27" s="289" t="str">
        <x:v>2026-10-19：三频6GHz、2.5G上联、802.3at、PoE最大25.4W；大陆合规与终端可用性待核</x:v>
      </x:c>
      <x:c r="D27" s="289" t="str">
        <x:v>官方资料</x:v>
      </x:c>
      <x:c r="E27" s="262"/>
      <x:c r="F27" s="262"/>
      <x:c r="G27" s="262"/>
      <x:c r="H27" s="262"/>
      <x:c r="I27" s="262"/>
    </x:row>
    <x:row r="28" ht="27" customHeight="1">
      <x:c r="A28" s="289" t="str">
        <x:v>TP-Link TX201候选</x:v>
      </x:c>
      <x:c r="B28" s="289" t="str">
        <x:v>https://www.tp-link.com/us/home-networking/pci-adapter/tx201/</x:v>
      </x:c>
      <x:c r="C28" s="289" t="str">
        <x:v>J3455 PCIe x1 2.5G网卡候选</x:v>
      </x:c>
      <x:c r="D28" s="289" t="str">
        <x:v>官方资料</x:v>
      </x:c>
      <x:c r="E28" s="262"/>
      <x:c r="F28" s="262"/>
      <x:c r="G28" s="262"/>
      <x:c r="H28" s="262"/>
      <x:c r="I28" s="262"/>
    </x:row>
    <x:row r="29" ht="40" customHeight="1">
      <x:c r="A29" s="289" t="str">
        <x:v>本次用户确认</x:v>
      </x:c>
      <x:c r="B29" s="289" t="str">
        <x:v>本次对话，2026-10-19</x:v>
      </x:c>
      <x:c r="C29" s="289" t="str">
        <x:v>最新确认：交换机接AP的端口保留PoE，不使用独立供电器；不是启用AP PoE Out。</x:v>
      </x:c>
      <x:c r="D29" s="289" t="str">
        <x:v>用户事实</x:v>
      </x:c>
      <x:c r="E29" s="262"/>
      <x:c r="F29" s="262"/>
      <x:c r="G29" s="262"/>
      <x:c r="H29" s="262"/>
      <x:c r="I29" s="262"/>
    </x:row>
    <x:row r="30" ht="40" customHeight="1">
      <x:c r="A30" s="289" t="str">
        <x:v>Fusion PoE官方规格</x:v>
      </x:c>
      <x:c r="B30" s="289" t="str">
        <x:v>https://www.tp-link.com/productpages/spec/116211-3.html</x:v>
      </x:c>
      <x:c r="C30" s="289" t="str">
        <x:v>2026-10-19：9×2.5G，8 PoE+/110W；54V2.43A直流适配器；有风扇；226×135×31.5mm</x:v>
      </x:c>
      <x:c r="D30" s="289" t="str">
        <x:v>官方资料</x:v>
      </x:c>
    </x:row>
    <x:row r="31" ht="40" customHeight="1">
      <x:c r="A31" s="289" t="str">
        <x:v>Fusion PoE官方商城</x:v>
      </x:c>
      <x:c r="B31" s="289" t="str">
        <x:v>https://store.omadanetworks.com/products/omada-gateway-controller-in-one-with-poe-fusion-2-5g-poe</x:v>
      </x:c>
      <x:c r="C31" s="289" t="str">
        <x:v>2026-10-20官方商城$349.99；供货日期按卖家当前页面确认</x:v>
      </x:c>
      <x:c r="D31" s="289" t="str">
        <x:v>官方价格</x:v>
      </x:c>
    </x:row>
    <x:row r="32" ht="36" customHeight="1">
      <x:c r="A32" s="289" t="str">
        <x:v>Fusion PoE Amazon</x:v>
      </x:c>
      <x:c r="B32" s="289" t="str">
        <x:v>https://www.amazon.com/dp/B0HKQ8ZPML</x:v>
      </x:c>
      <x:c r="C32" s="289" t="str">
        <x:v>2026-10-20 Amazon型号/页面价$349.99已核；库存、卖家和交期下单前刷新</x:v>
      </x:c>
      <x:c r="D32" s="289" t="str">
        <x:v>Amazon价格</x:v>
      </x:c>
    </x:row>
    <x:row r="33" ht="36" customHeight="1">
      <x:c r="A33" s="289" t="str">
        <x:v>SG2210XMP-M2替代核验</x:v>
      </x:c>
      <x:c r="B33" s="289" t="str">
        <x:v>https://store.omadanetworks.com/products/omada-8-port-2-5gbase-t-and-2-port-10ge-sfp-smart-switch-with-8x-poe-160w</x:v>
      </x:c>
      <x:c r="C33" s="289" t="str">
        <x:v>2026-10-19：官方$256.99；工作室另需铜模块，当前不更省</x:v>
      </x:c>
      <x:c r="D33" s="289" t="str">
        <x:v>官方价格/规格</x:v>
      </x:c>
    </x:row>
    <x:row r="34" ht="36" customHeight="1">
      <x:c r="A34" s="289" t="str">
        <x:v>第三版报告</x:v>
      </x:c>
      <x:c r="B34" s="289" t="str">
        <x:v>../../../docs/network-cost-optimization.md</x:v>
      </x:c>
      <x:c r="C34" s="289" t="str">
        <x:v>当前3A三频暂定定稿；相同三AP的双频保留备选，3B互斥比较</x:v>
      </x:c>
      <x:c r="D34" s="289" t="str">
        <x:v>仓库文档</x:v>
      </x:c>
    </x:row>
  </x:sheetData>
  <x:mergeCells>
    <x:mergeCell ref="A1:I1"/>
    <x:mergeCell ref="A2:I3"/>
    <x:mergeCell ref="A4:F4"/>
    <x:mergeCell ref="A16:G16"/>
  </x:mergeCells>
  <x:hyperlinks>
    <x:hyperlink xmlns:r="http://schemas.openxmlformats.org/officeDocument/2006/relationships" ref="B23" r:id="Raaa036c0d5204b61"/>
    <x:hyperlink xmlns:r="http://schemas.openxmlformats.org/officeDocument/2006/relationships" ref="B24" r:id="Rc0d5bdcfbd9a4148"/>
    <x:hyperlink xmlns:r="http://schemas.openxmlformats.org/officeDocument/2006/relationships" ref="B25" r:id="Rc092e8921eab41be"/>
    <x:hyperlink xmlns:r="http://schemas.openxmlformats.org/officeDocument/2006/relationships" ref="B26" r:id="Rc57894294344430f"/>
    <x:hyperlink xmlns:r="http://schemas.openxmlformats.org/officeDocument/2006/relationships" ref="B27" r:id="Ra88069dcfc8c4da0"/>
    <x:hyperlink xmlns:r="http://schemas.openxmlformats.org/officeDocument/2006/relationships" ref="B28" r:id="Re2fa6502927e4eb7"/>
    <x:hyperlink xmlns:r="http://schemas.openxmlformats.org/officeDocument/2006/relationships" ref="B30" r:id="R2c3e8058430e4fdd"/>
    <x:hyperlink xmlns:r="http://schemas.openxmlformats.org/officeDocument/2006/relationships" ref="B31" r:id="R648a1613df6e4fd0"/>
    <x:hyperlink xmlns:r="http://schemas.openxmlformats.org/officeDocument/2006/relationships" ref="B32" r:id="Rd58286a439fc4353"/>
    <x:hyperlink xmlns:r="http://schemas.openxmlformats.org/officeDocument/2006/relationships" ref="B33" r:id="Rb1f23c43b0334cd4"/>
    <x:hyperlink xmlns:r="http://schemas.openxmlformats.org/officeDocument/2006/relationships" ref="B34" r:id="R658476984e5f4297"/>
  </x:hyperlinks>
  <x:pageMargins left="0.7" right="0.7" top="0.75" bottom="0.75" header="0.3" footer="0.3"/>
  <x:tableParts count="2">
    <x:tablePart xmlns:r="http://schemas.openxmlformats.org/officeDocument/2006/relationships" r:id="Rbf31f808dbce46a4"/>
    <x:tablePart xmlns:r="http://schemas.openxmlformats.org/officeDocument/2006/relationships" r:id="R3bbb1352555c45ff"/>
  </x:tableParts>
</x:worksheet>
</file>

<file path=xl/worksheets/sheet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5" hidden="0" customWidth="1"/>
    <x:col min="9" max="9" width="3" hidden="0" customWidth="1"/>
    <x:col min="10" max="10" width="65" hidden="0" customWidth="1"/>
    <x:col min="11" max="11" width="46" hidden="0" customWidth="1"/>
    <x:col min="12" max="12" width="19" hidden="0" customWidth="1"/>
  </x:cols>
  <x:sheetData>
    <x:row r="1">
      <x:c r="A1" s="343"/>
      <x:c r="B1" s="343"/>
      <x:c r="C1" s="343"/>
      <x:c r="D1" s="343"/>
      <x:c r="E1" s="343"/>
      <x:c r="F1" s="343"/>
      <x:c r="G1" s="343"/>
      <x:c r="H1" s="343"/>
      <x:c r="I1" s="343"/>
      <x:c r="J1" s="343"/>
      <x:c r="K1" s="343"/>
      <x:c r="L1" s="343"/>
    </x:row>
    <x:row r="2">
      <x:c r="A2" s="338" t="str">
        <x:v>网络方案与价格：三频暂定定稿，双频保留备选</x:v>
      </x:c>
      <x:c r="B2" s="343"/>
      <x:c r="C2" s="343"/>
      <x:c r="D2" s="343"/>
      <x:c r="E2" s="343"/>
      <x:c r="F2" s="343"/>
      <x:c r="G2" s="343"/>
      <x:c r="H2" s="343"/>
      <x:c r="I2" s="343"/>
      <x:c r="J2" s="343"/>
      <x:c r="K2" s="343"/>
      <x:c r="L2" s="343"/>
    </x:row>
    <x:row r="3" ht="36" customHeight="1">
      <x:c r="A3" s="343" t="str">
        <x:v>2026-10-20 美国新机页面价，USD。3A三频为当前暂定定稿；3A双频为相同三AP、相同交换机的备选。V1/V2只用历史数量按本页单价重算。不含税运、进口、材料及人工。</x:v>
      </x:c>
      <x:c r="B3" s="343"/>
      <x:c r="C3" s="343"/>
      <x:c r="D3" s="343"/>
      <x:c r="E3" s="343"/>
      <x:c r="F3" s="343"/>
      <x:c r="G3" s="343"/>
      <x:c r="H3" s="343"/>
      <x:c r="I3" s="343"/>
      <x:c r="J3" s="343"/>
      <x:c r="K3" s="343"/>
      <x:c r="L3" s="343"/>
    </x:row>
    <x:row r="4" ht="36" customHeight="1">
      <x:c r="A4" s="434" t="str">
        <x:v>三频美版硬件支持 6GHz 不保证中国大陆可合法启用或终端可用；下单核地区版、PoE 协商和售后。旧 725 US V2 的价格与四下联口版本均未保证，仅供历史双频对照。</x:v>
      </x:c>
      <x:c r="B4" s="434"/>
      <x:c r="C4" s="434"/>
      <x:c r="D4" s="434"/>
      <x:c r="E4" s="434"/>
      <x:c r="F4" s="434"/>
      <x:c r="G4" s="434"/>
      <x:c r="H4" s="434"/>
      <x:c r="I4" s="343"/>
      <x:c r="J4" s="343"/>
      <x:c r="K4" s="343"/>
      <x:c r="L4" s="343"/>
    </x:row>
    <x:row r="5">
      <x:c r="A5" s="343"/>
      <x:c r="B5" s="343"/>
      <x:c r="C5" s="343"/>
      <x:c r="D5" s="343"/>
      <x:c r="E5" s="343"/>
      <x:c r="F5" s="343"/>
      <x:c r="G5" s="343"/>
      <x:c r="H5" s="343"/>
      <x:c r="I5" s="343"/>
      <x:c r="J5" s="343"/>
      <x:c r="K5" s="343"/>
      <x:c r="L5" s="343"/>
    </x:row>
    <x:row r="6" ht="34" customHeight="1">
      <x:c r="A6" s="437" t="str">
        <x:v>配置</x:v>
      </x:c>
      <x:c r="B6" s="437" t="str">
        <x:v>官方 USD</x:v>
      </x:c>
      <x:c r="C6" s="437" t="str">
        <x:v>Amazon USD</x:v>
      </x:c>
      <x:c r="D6" s="437" t="str">
        <x:v>较V1省 官方</x:v>
      </x:c>
      <x:c r="E6" s="437" t="str">
        <x:v>较V1省 Amazon</x:v>
      </x:c>
      <x:c r="F6" s="437" t="str">
        <x:v>较V2省 官方</x:v>
      </x:c>
      <x:c r="G6" s="437" t="str">
        <x:v>较V2省 Amazon</x:v>
      </x:c>
      <x:c r="H6" s="437" t="str">
        <x:v>取舍</x:v>
      </x:c>
      <x:c r="I6" s="343"/>
      <x:c r="J6" s="343"/>
      <x:c r="K6" s="343"/>
      <x:c r="L6" s="343"/>
    </x:row>
    <x:row r="7" ht="48" customHeight="1">
      <x:c r="A7" s="343" t="str">
        <x:v>V1 历史四AP三频</x:v>
      </x:c>
      <x:c r="B7" s="366" t="n">
        <x:f>IF(COUNT(B18,B20,B21,B22,B23)=5,SUMPRODUCT(D18:D25,B18:B25),"待报价")</x:f>
        <x:v>1564.92</x:v>
      </x:c>
      <x:c r="C7" s="366" t="n">
        <x:f>IF(COUNT(C18,C20,C21,C22,C23)=5,SUMPRODUCT(D18:D25,C18:C25),"待报价")</x:f>
        <x:v>1489.92</x:v>
      </x:c>
      <x:c r="D7" s="366" t="n">
        <x:f>IF(AND(ISNUMBER(B$7),ISNUMBER(B7)),B$7-B7,"待报价")</x:f>
        <x:v>0</x:v>
      </x:c>
      <x:c r="E7" s="366" t="n">
        <x:f>IF(AND(ISNUMBER(C$7),ISNUMBER(C7)),C$7-C7,"待报价")</x:f>
        <x:v>0</x:v>
      </x:c>
      <x:c r="F7" s="366" t="n">
        <x:f>IF(AND(ISNUMBER(B$8),ISNUMBER(B7)),B$8-B7,"待报价")</x:f>
        <x:v>-220</x:v>
      </x:c>
      <x:c r="G7" s="366" t="n">
        <x:f>IF(AND(ISNUMBER(C$8),ISNUMBER(C7)),C$8-C7,"待报价")</x:f>
        <x:v>-215</x:v>
      </x:c>
      <x:c r="H7" s="343" t="str">
        <x:v>历史设备数量，以本页最新单价重算，非当前采购</x:v>
      </x:c>
      <x:c r="I7" s="343"/>
      <x:c r="J7" s="343"/>
      <x:c r="K7" s="343"/>
      <x:c r="L7" s="343"/>
    </x:row>
    <x:row r="8" ht="48" customHeight="1">
      <x:c r="A8" s="343" t="str">
        <x:v>V2 历史四AP双频</x:v>
      </x:c>
      <x:c r="B8" s="366" t="n">
        <x:f>IF(COUNT(B18,B20,B21,B24,B25)=5,SUMPRODUCT(E18:E25,B18:B25),"待报价")</x:f>
        <x:v>1344.92</x:v>
      </x:c>
      <x:c r="C8" s="366" t="n">
        <x:f>IF(COUNT(C18,C20,C21,C24,C25)=5,SUMPRODUCT(E18:E25,C18:C25),"待报价")</x:f>
        <x:v>1274.92</x:v>
      </x:c>
      <x:c r="D8" s="366" t="n">
        <x:f>IF(AND(ISNUMBER(B$7),ISNUMBER(B8)),B$7-B8,"待报价")</x:f>
        <x:v>220</x:v>
      </x:c>
      <x:c r="E8" s="366" t="n">
        <x:f>IF(AND(ISNUMBER(C$7),ISNUMBER(C8)),C$7-C8,"待报价")</x:f>
        <x:v>215</x:v>
      </x:c>
      <x:c r="F8" s="366" t="n">
        <x:f>IF(AND(ISNUMBER(B$8),ISNUMBER(B8)),B$8-B8,"待报价")</x:f>
        <x:v>0</x:v>
      </x:c>
      <x:c r="G8" s="366" t="n">
        <x:f>IF(AND(ISNUMBER(C$8),ISNUMBER(C8)),C$8-C8,"待报价")</x:f>
        <x:v>0</x:v>
      </x:c>
      <x:c r="H8" s="343" t="str">
        <x:v>历史四AP/中央ES210配置，非当前双频备选</x:v>
      </x:c>
      <x:c r="I8" s="343"/>
      <x:c r="J8" s="343"/>
      <x:c r="K8" s="343"/>
      <x:c r="L8" s="343"/>
    </x:row>
    <x:row r="9" ht="48" customHeight="1">
      <x:c r="A9" s="438" t="str">
        <x:v>3A 三频（暂定定稿）</x:v>
      </x:c>
      <x:c r="B9" s="439" t="n">
        <x:f>IF(COUNT(B18,B20,B21,B22,B23)=5,SUMPRODUCT(F18:F25,B18:B25),"待报价")</x:f>
        <x:v>1314.93</x:v>
      </x:c>
      <x:c r="C9" s="439" t="n">
        <x:f>IF(COUNT(C18,C20,C21,C22,C23)=5,SUMPRODUCT(F18:F25,C18:C25),"待报价")</x:f>
        <x:v>1229.93</x:v>
      </x:c>
      <x:c r="D9" s="439" t="n">
        <x:f>IF(AND(ISNUMBER(B$7),ISNUMBER(B9)),B$7-B9,"待报价")</x:f>
        <x:v>249.99</x:v>
      </x:c>
      <x:c r="E9" s="439" t="n">
        <x:f>IF(AND(ISNUMBER(C$7),ISNUMBER(C9)),C$7-C9,"待报价")</x:f>
        <x:v>259.99</x:v>
      </x:c>
      <x:c r="F9" s="439" t="n">
        <x:f>IF(AND(ISNUMBER(B$8),ISNUMBER(B9)),B$8-B9,"待报价")</x:f>
        <x:v>29.99000000000001</x:v>
      </x:c>
      <x:c r="G9" s="439" t="n">
        <x:f>IF(AND(ISNUMBER(C$8),ISNUMBER(C9)),C$8-C9,"待报价")</x:f>
        <x:v>44.99000000000001</x:v>
      </x:c>
      <x:c r="H9" s="438" t="str">
        <x:v>当前暂定定稿：3A，775×2+772×1，次卧AP不购</x:v>
      </x:c>
      <x:c r="I9" s="343"/>
      <x:c r="J9" s="343"/>
      <x:c r="K9" s="343"/>
      <x:c r="L9" s="343"/>
    </x:row>
    <x:row r="10" ht="48" customHeight="1">
      <x:c r="A10" s="438" t="str">
        <x:v>3B 三频（整合比较）</x:v>
      </x:c>
      <x:c r="B10" s="439" t="n">
        <x:f>IF(COUNT(B19,B20,B21,B22,B23)=5,SUMPRODUCT(G18:G25,B18:B25),"待报价")</x:f>
        <x:v>1309.94</x:v>
      </x:c>
      <x:c r="C10" s="439" t="n">
        <x:f>IF(COUNT(C19,C20,C21,C22,C23)=5,SUMPRODUCT(G18:G25,C18:C25),"待报价")</x:f>
        <x:v>1259.94</x:v>
      </x:c>
      <x:c r="D10" s="439" t="n">
        <x:f>IF(AND(ISNUMBER(B$7),ISNUMBER(B10)),B$7-B10,"待报价")</x:f>
        <x:v>254.98000000000002</x:v>
      </x:c>
      <x:c r="E10" s="439" t="n">
        <x:f>IF(AND(ISNUMBER(C$7),ISNUMBER(C10)),C$7-C10,"待报价")</x:f>
        <x:v>229.98000000000002</x:v>
      </x:c>
      <x:c r="F10" s="439" t="n">
        <x:f>IF(AND(ISNUMBER(B$8),ISNUMBER(B10)),B$8-B10,"待报价")</x:f>
        <x:v>34.98000000000002</x:v>
      </x:c>
      <x:c r="G10" s="439" t="n">
        <x:f>IF(AND(ISNUMBER(C$8),ISNUMBER(C10)),C$8-C10,"待报价")</x:f>
        <x:v>14.980000000000018</x:v>
      </x:c>
      <x:c r="H10" s="438" t="str">
        <x:v>未选用：PoE Fusion替换普通Fusion/中央交换机</x:v>
      </x:c>
      <x:c r="I10" s="343"/>
      <x:c r="J10" s="343"/>
      <x:c r="K10" s="343"/>
      <x:c r="L10" s="343"/>
    </x:row>
    <x:row r="11" ht="34" customHeight="1">
      <x:c r="A11" s="444" t="str">
        <x:v>3A 双频（保留备选）</x:v>
      </x:c>
      <x:c r="B11" s="445" t="n">
        <x:f>IF(COUNT(B18,B20,B21,B24,B25)=5,F18*B18+F20*B20+F21*B21+F22*B24+F23*B25,"待报价")</x:f>
        <x:v>1139.93</x:v>
      </x:c>
      <x:c r="C11" s="445" t="n">
        <x:f>IF(COUNT(C18,C20,C21,C24,C25)=5,F18*C18+F20*C20+F21*C21+F22*C24+F23*C25,"待报价")</x:f>
        <x:v>1059.93</x:v>
      </x:c>
      <x:c r="D11" s="445" t="n">
        <x:f>IF(AND(ISNUMBER(B$7),ISNUMBER(B11)),B$7-B11,"待报价")</x:f>
        <x:v>424.99</x:v>
      </x:c>
      <x:c r="E11" s="445" t="n">
        <x:f>IF(AND(ISNUMBER(C$7),ISNUMBER(C11)),C$7-C11,"待报价")</x:f>
        <x:v>429.99</x:v>
      </x:c>
      <x:c r="F11" s="445" t="n">
        <x:f>IF(AND(ISNUMBER(B$8),ISNUMBER(B11)),B$8-B11,"待报价")</x:f>
        <x:v>204.99</x:v>
      </x:c>
      <x:c r="G11" s="445" t="n">
        <x:f>IF(AND(ISNUMBER(C$8),ISNUMBER(C11)),C$8-C11,"待报价")</x:f>
        <x:v>214.99</x:v>
      </x:c>
      <x:c r="H11" s="444" t="str">
        <x:v>保留预算备选：同3A交换机，725×2+723×1；US V2待核</x:v>
      </x:c>
      <x:c r="I11" s="343"/>
      <x:c r="J11" s="343"/>
      <x:c r="K11" s="343"/>
      <x:c r="L11" s="343"/>
    </x:row>
    <x:row r="12" ht="34" customHeight="1">
      <x:c r="A12" s="343" t="str">
        <x:v>当前暂定定稿：3A三频，EAP775-Wall×2+EAP772×1。双频725×2+723×1保留为预算备选。次卧只留Cat6A/RJ45。</x:v>
      </x:c>
      <x:c r="B12" s="343"/>
      <x:c r="C12" s="343"/>
      <x:c r="D12" s="343"/>
      <x:c r="E12" s="343"/>
      <x:c r="F12" s="343"/>
      <x:c r="G12" s="343"/>
      <x:c r="H12" s="343"/>
      <x:c r="I12" s="343"/>
      <x:c r="J12" s="343"/>
      <x:c r="K12" s="343"/>
      <x:c r="L12" s="343"/>
    </x:row>
    <x:row r="13" ht="34" customHeight="1">
      <x:c r="A13" s="343" t="str">
        <x:v>中央主卧、工作室、大厅各一台三频 AP 由各自 PoE 交换机供电；次卧端口默认关闭 PoE。775 最大45W包含25W下游转供，本方案禁用转供；到货核实际 PoE 协商和冷启动。</x:v>
      </x:c>
      <x:c r="B13" s="343"/>
      <x:c r="C13" s="343"/>
      <x:c r="D13" s="343"/>
      <x:c r="E13" s="343"/>
      <x:c r="F13" s="343"/>
      <x:c r="G13" s="343"/>
      <x:c r="H13" s="343"/>
      <x:c r="I13" s="343"/>
      <x:c r="J13" s="343"/>
      <x:c r="K13" s="343"/>
      <x:c r="L13" s="343"/>
    </x:row>
    <x:row r="14" ht="34" customHeight="1">
      <x:c r="A14" s="343" t="str">
        <x:v>同配置三频较双频增加Amazon $170、官方$175。ES206当前Amazon $149.99使3A三频较10/19降$34.28；3A比3B当前Amazon便宜$30.01。</x:v>
      </x:c>
      <x:c r="B14" s="343"/>
      <x:c r="C14" s="343"/>
      <x:c r="D14" s="343"/>
      <x:c r="E14" s="343"/>
      <x:c r="F14" s="343"/>
      <x:c r="G14" s="343"/>
      <x:c r="H14" s="343"/>
      <x:c r="I14" s="343"/>
      <x:c r="J14" s="343"/>
      <x:c r="K14" s="343"/>
      <x:c r="L14" s="343"/>
    </x:row>
    <x:row r="15" ht="30" customHeight="1">
      <x:c r="A15" s="343"/>
      <x:c r="B15" s="343"/>
      <x:c r="C15" s="343"/>
      <x:c r="D15" s="343"/>
      <x:c r="E15" s="343"/>
      <x:c r="F15" s="343"/>
      <x:c r="G15" s="343"/>
      <x:c r="H15" s="343"/>
      <x:c r="I15" s="343"/>
      <x:c r="J15" s="343"/>
      <x:c r="K15" s="343"/>
      <x:c r="L15" s="343"/>
    </x:row>
    <x:row r="16" ht="30" customHeight="1">
      <x:c r="A16" s="343" t="str">
        <x:v>单价输入与固定方案数量：黄色格可替换为正式报价。3A与3B二选一，不能叠加采购。</x:v>
      </x:c>
      <x:c r="B16" s="343"/>
      <x:c r="C16" s="343"/>
      <x:c r="D16" s="343"/>
      <x:c r="E16" s="343"/>
      <x:c r="F16" s="343"/>
      <x:c r="G16" s="343"/>
      <x:c r="H16" s="343"/>
      <x:c r="I16" s="343"/>
      <x:c r="J16" s="343"/>
      <x:c r="K16" s="343"/>
      <x:c r="L16" s="343"/>
    </x:row>
    <x:row r="17" ht="34" customHeight="1">
      <x:c r="A17" s="437" t="str">
        <x:v>型号</x:v>
      </x:c>
      <x:c r="B17" s="437" t="str">
        <x:v>官方单价USD</x:v>
      </x:c>
      <x:c r="C17" s="437" t="str">
        <x:v>Amazon单价USD</x:v>
      </x:c>
      <x:c r="D17" s="437" t="str">
        <x:v>V1数量</x:v>
      </x:c>
      <x:c r="E17" s="437" t="str">
        <x:v>V2数量</x:v>
      </x:c>
      <x:c r="F17" s="437" t="str">
        <x:v>V3A数量</x:v>
      </x:c>
      <x:c r="G17" s="437" t="str">
        <x:v>V3B数量</x:v>
      </x:c>
      <x:c r="H17" s="437" t="str">
        <x:v>版本/卖家/供货</x:v>
      </x:c>
      <x:c r="I17" s="343" t="str"/>
      <x:c r="J17" s="437" t="str">
        <x:v>官方商城</x:v>
      </x:c>
      <x:c r="K17" s="437" t="str">
        <x:v>美国Amazon</x:v>
      </x:c>
      <x:c r="L17" s="437" t="str">
        <x:v>核验日</x:v>
      </x:c>
    </x:row>
    <x:row r="18" ht="78" customHeight="1">
      <x:c r="A18" s="343" t="str">
        <x:v>Fusion 2.5G 普通版</x:v>
      </x:c>
      <x:c r="B18" s="440" t="n">
        <x:v>184.99</x:v>
      </x:c>
      <x:c r="C18" s="440" t="n">
        <x:v>169.99</x:v>
      </x:c>
      <x:c r="D18" s="370" t="n">
        <x:v>1</x:v>
      </x:c>
      <x:c r="E18" s="370" t="n">
        <x:v>1</x:v>
      </x:c>
      <x:c r="F18" s="370" t="n">
        <x:v>1</x:v>
      </x:c>
      <x:c r="G18" s="370" t="n">
        <x:v>0</x:v>
      </x:c>
      <x:c r="H18" s="343" t="str">
        <x:v>10/20核型号和页面价；普通版，无PoE</x:v>
      </x:c>
      <x:c r="I18" s="343"/>
      <x:c r="J18" s="352" t="str">
        <x:v>https://store.omadanetworks.com/products/omada-all-in-one-gateway-fusion-2-5g</x:v>
      </x:c>
      <x:c r="K18" s="352" t="str">
        <x:v>https://www.amazon.com/dp/B0H4P7XX8G</x:v>
      </x:c>
      <x:c r="L18" s="351" t="d">
        <x:v>2026-10-20T00:00:00.000Z</x:v>
      </x:c>
    </x:row>
    <x:row r="19" ht="78" customHeight="1">
      <x:c r="A19" s="343" t="str">
        <x:v>Fusion 2.5G PoE</x:v>
      </x:c>
      <x:c r="B19" s="440" t="n">
        <x:v>349.99</x:v>
      </x:c>
      <x:c r="C19" s="440" t="n">
        <x:v>349.99</x:v>
      </x:c>
      <x:c r="D19" s="370" t="n">
        <x:v>0</x:v>
      </x:c>
      <x:c r="E19" s="370" t="n">
        <x:v>0</x:v>
      </x:c>
      <x:c r="F19" s="370" t="n">
        <x:v>0</x:v>
      </x:c>
      <x:c r="G19" s="370" t="n">
        <x:v>1</x:v>
      </x:c>
      <x:c r="H19" s="343" t="str">
        <x:v>10/20核PoE版型号和页面价；3B比较，供货以卖家为准</x:v>
      </x:c>
      <x:c r="I19" s="343"/>
      <x:c r="J19" s="352" t="str">
        <x:v>https://store.omadanetworks.com/products/omada-gateway-controller-in-one-with-poe-fusion-2-5g-poe</x:v>
      </x:c>
      <x:c r="K19" s="352" t="str">
        <x:v>https://www.amazon.com/dp/B0HKQ8ZPML</x:v>
      </x:c>
      <x:c r="L19" s="351" t="d">
        <x:v>2026-10-20T00:00:00.000Z</x:v>
      </x:c>
    </x:row>
    <x:row r="20" ht="78" customHeight="1">
      <x:c r="A20" s="343" t="str">
        <x:v>ES210XPP-M2</x:v>
      </x:c>
      <x:c r="B20" s="440" t="n">
        <x:v>229.99</x:v>
      </x:c>
      <x:c r="C20" s="440" t="n">
        <x:v>229.99</x:v>
      </x:c>
      <x:c r="D20" s="370" t="n">
        <x:v>2</x:v>
      </x:c>
      <x:c r="E20" s="370" t="n">
        <x:v>2</x:v>
      </x:c>
      <x:c r="F20" s="370" t="n">
        <x:v>1</x:v>
      </x:c>
      <x:c r="G20" s="370" t="n">
        <x:v>1</x:v>
      </x:c>
      <x:c r="H20" s="343" t="str">
        <x:v>10/20核8×2.5G PoE++、10G RJ45+SFP+；不是ES210X-M2</x:v>
      </x:c>
      <x:c r="I20" s="343"/>
      <x:c r="J20" s="352" t="str">
        <x:v>https://store.omadanetworks.com/products/omada-8-port-2-5g-2-port-10g-easy-managed-switch-with-8-port-poe-es210xpp-m2</x:v>
      </x:c>
      <x:c r="K20" s="352" t="str">
        <x:v>https://www.amazon.com/dp/B0HB17QTKX</x:v>
      </x:c>
      <x:c r="L20" s="351" t="d">
        <x:v>2026-10-20T00:00:00.000Z</x:v>
      </x:c>
    </x:row>
    <x:row r="21" ht="78" customHeight="1">
      <x:c r="A21" s="343" t="str">
        <x:v>ES206XPP-M2</x:v>
      </x:c>
      <x:c r="B21" s="440" t="n">
        <x:v>169.99</x:v>
      </x:c>
      <x:c r="C21" s="440" t="n">
        <x:v>149.99</x:v>
      </x:c>
      <x:c r="D21" s="370" t="n">
        <x:v>1</x:v>
      </x:c>
      <x:c r="E21" s="370" t="n">
        <x:v>1</x:v>
      </x:c>
      <x:c r="F21" s="370" t="n">
        <x:v>2</x:v>
      </x:c>
      <x:c r="G21" s="370" t="n">
        <x:v>1</x:v>
      </x:c>
      <x:c r="H21" s="343" t="str">
        <x:v>10/20核5口/PoE++120W款；3A中央+大厅合计两台</x:v>
      </x:c>
      <x:c r="I21" s="343"/>
      <x:c r="J21" s="352" t="str">
        <x:v>https://store.omadanetworks.com/products/omada-5-port-2-5g-base-t-and-1-port-10ge-sfp-easy-managed-switch-with-4-port-poe-es206xpp-m2</x:v>
      </x:c>
      <x:c r="K21" s="352" t="str">
        <x:v>https://www.amazon.com/dp/B0GKQ5SD2L</x:v>
      </x:c>
      <x:c r="L21" s="351" t="d">
        <x:v>2026-10-20T00:00:00.000Z</x:v>
      </x:c>
    </x:row>
    <x:row r="22" ht="78" customHeight="1">
      <x:c r="A22" s="343" t="str">
        <x:v>EAP775-Wall</x:v>
      </x:c>
      <x:c r="B22" s="440" t="n">
        <x:v>189.99</x:v>
      </x:c>
      <x:c r="C22" s="440" t="n">
        <x:v>179.99</x:v>
      </x:c>
      <x:c r="D22" s="370" t="n">
        <x:v>3</x:v>
      </x:c>
      <x:c r="E22" s="370" t="n">
        <x:v>0</x:v>
      </x:c>
      <x:c r="F22" s="370" t="n">
        <x:v>2</x:v>
      </x:c>
      <x:c r="G22" s="370" t="n">
        <x:v>2</x:v>
      </x:c>
      <x:c r="H22" s="343" t="str">
        <x:v>10/20核三频775面板；当前主卧/电竞房各一台</x:v>
      </x:c>
      <x:c r="I22" s="343"/>
      <x:c r="J22" s="352" t="str">
        <x:v>https://store.omadanetworks.com/products/omada-be11000-tri-band-wall-plate-wi-fi-7-access-point-eap775-wall</x:v>
      </x:c>
      <x:c r="K22" s="352" t="str">
        <x:v>https://www.amazon.com/dp/B0G88FG4QH</x:v>
      </x:c>
      <x:c r="L22" s="351" t="d">
        <x:v>2026-10-20T00:00:00.000Z</x:v>
      </x:c>
    </x:row>
    <x:row r="23" ht="78" customHeight="1">
      <x:c r="A23" s="343" t="str">
        <x:v>EAP772</x:v>
      </x:c>
      <x:c r="B23" s="440" t="n">
        <x:v>179.99</x:v>
      </x:c>
      <x:c r="C23" s="440" t="n">
        <x:v>169.99</x:v>
      </x:c>
      <x:c r="D23" s="370" t="n">
        <x:v>1</x:v>
      </x:c>
      <x:c r="E23" s="370" t="n">
        <x:v>0</x:v>
      </x:c>
      <x:c r="F23" s="370" t="n">
        <x:v>1</x:v>
      </x:c>
      <x:c r="G23" s="370" t="n">
        <x:v>1</x:v>
      </x:c>
      <x:c r="H23" s="343" t="str">
        <x:v>10/20核三频772吊顶；当前大厅一台</x:v>
      </x:c>
      <x:c r="I23" s="343"/>
      <x:c r="J23" s="352" t="str">
        <x:v>https://store.omadanetworks.com/products/omada-be11000-ceiling-mount-tri-band-wi-fi-7-access-point-with-1x2-5g-port</x:v>
      </x:c>
      <x:c r="K23" s="352" t="str">
        <x:v>https://www.amazon.com/dp/B0D2M26NYW</x:v>
      </x:c>
      <x:c r="L23" s="351" t="d">
        <x:v>2026-10-20T00:00:00.000Z</x:v>
      </x:c>
    </x:row>
    <x:row r="24" ht="78" customHeight="1">
      <x:c r="A24" s="343" t="str">
        <x:v>EAP725-Wall（须US V2）</x:v>
      </x:c>
      <x:c r="B24" s="440" t="n">
        <x:v>144.99</x:v>
      </x:c>
      <x:c r="C24" s="440" t="n">
        <x:v>134.99</x:v>
      </x:c>
      <x:c r="D24" s="370" t="n">
        <x:v>0</x:v>
      </x:c>
      <x:c r="E24" s="370" t="n">
        <x:v>3</x:v>
      </x:c>
      <x:c r="F24" s="370" t="n">
        <x:v>0</x:v>
      </x:c>
      <x:c r="G24" s="370" t="n">
        <x:v>0</x:v>
      </x:c>
      <x:c r="H24" s="343" t="str">
        <x:v>10/20核双频型号/价格；页面仍列三下联，US V2发货及报价待核</x:v>
      </x:c>
      <x:c r="I24" s="343"/>
      <x:c r="J24" s="352" t="str">
        <x:v>https://store.omadanetworks.com/products/eap725-wall</x:v>
      </x:c>
      <x:c r="K24" s="352" t="str">
        <x:v>https://www.amazon.com/dp/B0FB1W85FN</x:v>
      </x:c>
      <x:c r="L24" s="351" t="d">
        <x:v>2026-10-20T00:00:00.000Z</x:v>
      </x:c>
    </x:row>
    <x:row r="25" ht="78" customHeight="1">
      <x:c r="A25" s="343" t="str">
        <x:v>EAP723</x:v>
      </x:c>
      <x:c r="B25" s="440" t="n">
        <x:v>94.99</x:v>
      </x:c>
      <x:c r="C25" s="440" t="n">
        <x:v>89.99</x:v>
      </x:c>
      <x:c r="D25" s="370" t="n">
        <x:v>0</x:v>
      </x:c>
      <x:c r="E25" s="370" t="n">
        <x:v>1</x:v>
      </x:c>
      <x:c r="F25" s="370" t="n">
        <x:v>0</x:v>
      </x:c>
      <x:c r="G25" s="370" t="n">
        <x:v>0</x:v>
      </x:c>
      <x:c r="H25" s="343" t="str">
        <x:v>10/20核双频723型号/价格；只在双频备选采购一台</x:v>
      </x:c>
      <x:c r="I25" s="343"/>
      <x:c r="J25" s="352" t="str">
        <x:v>https://store.omadanetworks.com/products/omada-be5000-ceiling-mount-dual-band-wi-fi-7-access-point-with-1x2-5g-port</x:v>
      </x:c>
      <x:c r="K25" s="352" t="str">
        <x:v>https://www.amazon.com/dp/B0DT4YP2GX</x:v>
      </x:c>
      <x:c r="L25" s="351" t="d">
        <x:v>2026-10-20T00:00:00.000Z</x:v>
      </x:c>
    </x:row>
    <x:row r="26" ht="76" customHeight="1">
      <x:c r="A26" s="343"/>
      <x:c r="B26" s="343"/>
      <x:c r="C26" s="343"/>
      <x:c r="D26" s="343"/>
      <x:c r="E26" s="343"/>
      <x:c r="F26" s="343"/>
      <x:c r="G26" s="343"/>
      <x:c r="H26" s="343"/>
      <x:c r="I26" s="343"/>
      <x:c r="J26" s="343"/>
      <x:c r="K26" s="343"/>
      <x:c r="L26" s="343"/>
    </x:row>
    <x:row r="27" ht="36" customHeight="1">
      <x:c r="A27" s="343" t="str">
        <x:v>美国新机单件页面价，不计订阅/信用卡优惠、税运、进口或安装；未沿用旧库存数量作为当前库存。购买前核所选型号和发货硬件版。</x:v>
      </x:c>
      <x:c r="B27" s="343"/>
      <x:c r="C27" s="343"/>
      <x:c r="D27" s="343"/>
      <x:c r="E27" s="343"/>
      <x:c r="F27" s="343"/>
      <x:c r="G27" s="343"/>
      <x:c r="H27" s="343"/>
      <x:c r="I27" s="343"/>
      <x:c r="J27" s="343"/>
      <x:c r="K27" s="343"/>
      <x:c r="L27" s="343"/>
    </x:row>
    <x:row r="28" ht="36" customHeight="1">
      <x:c r="A28" s="343" t="str">
        <x:v>交换机备选：无PoE的ES210X-M2/ES206X-M2已退出。SG2210XMP-M2官方$256.99，工作室另需铜模块，当前不比ES210XPP便宜。</x:v>
      </x:c>
      <x:c r="B28" s="343"/>
      <x:c r="C28" s="343"/>
      <x:c r="D28" s="343"/>
      <x:c r="E28" s="343"/>
      <x:c r="F28" s="343"/>
      <x:c r="G28" s="343"/>
      <x:c r="H28" s="343"/>
      <x:c r="I28" s="343"/>
      <x:c r="J28" s="343"/>
      <x:c r="K28" s="343"/>
      <x:c r="L28" s="343"/>
    </x:row>
    <x:row r="29" ht="36" customHeight="1">
      <x:c r="A29" s="343" t="str">
        <x:v>当前暂定定稿为3A三频；双频保留预算备选；3B为互斥整合比较。三套方案数量不得相加采购。</x:v>
      </x:c>
      <x:c r="B29" s="343"/>
      <x:c r="C29" s="343"/>
      <x:c r="D29" s="343"/>
      <x:c r="E29" s="343"/>
      <x:c r="F29" s="343"/>
      <x:c r="G29" s="343"/>
      <x:c r="H29" s="343"/>
      <x:c r="I29" s="343"/>
      <x:c r="J29" s="343"/>
      <x:c r="K29" s="343"/>
      <x:c r="L29" s="343"/>
    </x:row>
    <x:row r="30" ht="34" customHeight="1">
      <x:c r="A30" s="343"/>
      <x:c r="B30" s="343"/>
      <x:c r="C30" s="343"/>
      <x:c r="D30" s="343"/>
      <x:c r="E30" s="343"/>
      <x:c r="F30" s="343"/>
      <x:c r="G30" s="343"/>
      <x:c r="H30" s="343"/>
      <x:c r="I30" s="343"/>
      <x:c r="J30" s="343"/>
      <x:c r="K30" s="343"/>
      <x:c r="L30" s="343"/>
    </x:row>
    <x:row r="31" ht="34" customHeight="1">
      <x:c r="A31" s="343"/>
      <x:c r="B31" s="343"/>
      <x:c r="C31" s="343"/>
      <x:c r="D31" s="343" t="str">
        <x:v>https://www.amazon.com/dp/B0G88FG4QH</x:v>
      </x:c>
      <x:c r="E31" s="343"/>
      <x:c r="F31" s="343"/>
      <x:c r="G31" s="343"/>
      <x:c r="H31" s="343"/>
      <x:c r="I31" s="343"/>
      <x:c r="J31" s="343"/>
      <x:c r="K31" s="343"/>
      <x:c r="L31" s="343"/>
    </x:row>
    <x:row r="32" ht="34" customHeight="1">
      <x:c r="A32" s="343"/>
      <x:c r="B32" s="343"/>
      <x:c r="C32" s="343"/>
      <x:c r="D32" s="343" t="str">
        <x:v>https://www.amazon.com/dp/B0FB1W85FN</x:v>
      </x:c>
      <x:c r="E32" s="343"/>
      <x:c r="F32" s="343"/>
      <x:c r="G32" s="343"/>
      <x:c r="H32" s="343"/>
      <x:c r="I32" s="343"/>
      <x:c r="J32" s="343"/>
      <x:c r="K32" s="343"/>
      <x:c r="L32" s="343"/>
    </x:row>
    <x:row r="33" ht="30" customHeight="1">
      <x:c r="A33" s="343"/>
      <x:c r="B33" s="343"/>
      <x:c r="C33" s="343"/>
      <x:c r="D33" s="343" t="str">
        <x:v>https://www.amazon.com/dp/B0D2M26NYW</x:v>
      </x:c>
      <x:c r="E33" s="343"/>
      <x:c r="F33" s="343"/>
      <x:c r="G33" s="343"/>
      <x:c r="H33" s="343"/>
      <x:c r="I33" s="343"/>
      <x:c r="J33" s="343"/>
      <x:c r="K33" s="343"/>
      <x:c r="L33" s="343"/>
    </x:row>
    <x:row r="34" ht="30" customHeight="1">
      <x:c r="A34" s="343"/>
      <x:c r="B34" s="343"/>
      <x:c r="C34" s="343"/>
      <x:c r="D34" s="343" t="str">
        <x:v>https://www.amazon.com/dp/B0DT4YP2GX</x:v>
      </x:c>
      <x:c r="E34" s="343"/>
      <x:c r="F34" s="343"/>
      <x:c r="G34" s="343"/>
      <x:c r="H34" s="343"/>
      <x:c r="I34" s="343"/>
      <x:c r="J34" s="343"/>
      <x:c r="K34" s="343"/>
      <x:c r="L34" s="343"/>
    </x:row>
    <x:row r="35" ht="30" customHeight="1">
      <x:c r="A35" s="343"/>
      <x:c r="B35" s="343"/>
      <x:c r="C35" s="343"/>
      <x:c r="D35" s="343"/>
      <x:c r="E35" s="343"/>
      <x:c r="F35" s="343"/>
      <x:c r="G35" s="343"/>
      <x:c r="H35" s="343"/>
      <x:c r="I35" s="343"/>
      <x:c r="J35" s="343"/>
      <x:c r="K35" s="343"/>
      <x:c r="L35" s="343"/>
    </x:row>
    <x:row r="36" ht="30" customHeight="1">
      <x:c r="A36" s="343"/>
      <x:c r="B36" s="343"/>
      <x:c r="C36" s="343"/>
      <x:c r="D36" s="343"/>
      <x:c r="E36" s="343"/>
      <x:c r="F36" s="343"/>
      <x:c r="G36" s="343"/>
      <x:c r="H36" s="343"/>
      <x:c r="I36" s="343"/>
      <x:c r="J36" s="343"/>
      <x:c r="K36" s="343"/>
      <x:c r="L36" s="343"/>
    </x:row>
    <x:row r="37" ht="30" customHeight="1">
      <x:c r="A37" s="343"/>
      <x:c r="B37" s="343"/>
      <x:c r="C37" s="343"/>
      <x:c r="D37" s="343"/>
      <x:c r="E37" s="343"/>
      <x:c r="F37" s="343"/>
      <x:c r="G37" s="343"/>
      <x:c r="H37" s="343"/>
      <x:c r="I37" s="343"/>
      <x:c r="J37" s="343"/>
      <x:c r="K37" s="343"/>
      <x:c r="L37" s="343"/>
    </x:row>
    <x:row r="38" ht="30" customHeight="1">
      <x:c r="A38" s="343"/>
      <x:c r="B38" s="343"/>
      <x:c r="C38" s="343"/>
      <x:c r="D38" s="343"/>
      <x:c r="E38" s="343"/>
      <x:c r="F38" s="343"/>
      <x:c r="G38" s="343"/>
      <x:c r="H38" s="343"/>
      <x:c r="I38" s="343"/>
      <x:c r="J38" s="343"/>
      <x:c r="K38" s="343"/>
      <x:c r="L38" s="343"/>
    </x:row>
    <x:row r="39" ht="30" customHeight="1">
      <x:c r="A39" s="343"/>
      <x:c r="B39" s="343"/>
      <x:c r="C39" s="343"/>
      <x:c r="D39" s="343"/>
      <x:c r="E39" s="343"/>
      <x:c r="F39" s="343"/>
      <x:c r="G39" s="343"/>
      <x:c r="H39" s="343"/>
      <x:c r="I39" s="343"/>
      <x:c r="J39" s="343"/>
      <x:c r="K39" s="343"/>
      <x:c r="L39" s="343"/>
    </x:row>
    <x:row r="40" ht="30" customHeight="1">
      <x:c r="A40" s="343"/>
      <x:c r="B40" s="343"/>
      <x:c r="C40" s="343"/>
      <x:c r="D40" s="343"/>
      <x:c r="E40" s="343"/>
      <x:c r="F40" s="343"/>
      <x:c r="G40" s="343"/>
      <x:c r="H40" s="343"/>
      <x:c r="I40" s="343"/>
      <x:c r="J40" s="343"/>
      <x:c r="K40" s="343"/>
      <x:c r="L40" s="343"/>
    </x:row>
    <x:row r="41">
      <x:c r="A41" s="343"/>
      <x:c r="B41" s="343"/>
      <x:c r="C41" s="343"/>
      <x:c r="D41" s="343"/>
      <x:c r="E41" s="343"/>
      <x:c r="F41" s="343"/>
      <x:c r="G41" s="343"/>
      <x:c r="H41" s="343"/>
      <x:c r="I41" s="343"/>
      <x:c r="J41" s="343"/>
      <x:c r="K41" s="343"/>
      <x:c r="L41" s="343"/>
    </x:row>
    <x:row r="42" ht="30" customHeight="1">
      <x:c r="A42" s="343"/>
      <x:c r="B42" s="343"/>
      <x:c r="C42" s="343"/>
      <x:c r="D42" s="343"/>
      <x:c r="E42" s="343"/>
      <x:c r="F42" s="343"/>
      <x:c r="G42" s="343"/>
      <x:c r="H42" s="343"/>
      <x:c r="I42" s="343"/>
      <x:c r="J42" s="343"/>
      <x:c r="K42" s="343"/>
      <x:c r="L42" s="343"/>
    </x:row>
    <x:row r="43" ht="30" customHeight="1">
      <x:c r="A43" s="343"/>
      <x:c r="B43" s="343"/>
      <x:c r="C43" s="343"/>
      <x:c r="D43" s="343"/>
      <x:c r="E43" s="343"/>
      <x:c r="F43" s="343"/>
      <x:c r="G43" s="343"/>
      <x:c r="H43" s="343"/>
      <x:c r="I43" s="343"/>
      <x:c r="J43" s="343"/>
      <x:c r="K43" s="343"/>
      <x:c r="L43" s="343"/>
    </x:row>
    <x:row r="44">
      <x:c r="A44" s="343"/>
      <x:c r="B44" s="343"/>
      <x:c r="C44" s="343"/>
      <x:c r="D44" s="343"/>
      <x:c r="E44" s="343"/>
      <x:c r="F44" s="343"/>
      <x:c r="G44" s="343"/>
      <x:c r="H44" s="343"/>
      <x:c r="I44" s="343"/>
      <x:c r="J44" s="343"/>
      <x:c r="K44" s="343"/>
      <x:c r="L44" s="343"/>
    </x:row>
    <x:row r="45">
      <x:c r="A45" s="343"/>
      <x:c r="B45" s="343"/>
      <x:c r="C45" s="343"/>
      <x:c r="D45" s="343"/>
      <x:c r="E45" s="343"/>
      <x:c r="F45" s="343"/>
      <x:c r="G45" s="343"/>
      <x:c r="H45" s="343"/>
      <x:c r="I45" s="343"/>
      <x:c r="J45" s="343"/>
      <x:c r="K45" s="343"/>
      <x:c r="L45" s="343"/>
    </x:row>
    <x:row r="46">
      <x:c r="A46" s="343"/>
      <x:c r="B46" s="343"/>
      <x:c r="C46" s="343"/>
      <x:c r="D46" s="343"/>
      <x:c r="E46" s="343"/>
      <x:c r="F46" s="343"/>
      <x:c r="G46" s="343"/>
      <x:c r="H46" s="343"/>
      <x:c r="I46" s="343"/>
      <x:c r="J46" s="343"/>
      <x:c r="K46" s="343"/>
      <x:c r="L46" s="343"/>
    </x:row>
    <x:row r="47">
      <x:c r="A47" s="343"/>
      <x:c r="B47" s="343"/>
      <x:c r="C47" s="343"/>
      <x:c r="D47" s="343"/>
      <x:c r="E47" s="343"/>
      <x:c r="F47" s="343"/>
      <x:c r="G47" s="343"/>
      <x:c r="H47" s="343"/>
      <x:c r="I47" s="343"/>
      <x:c r="J47" s="343"/>
      <x:c r="K47" s="343"/>
      <x:c r="L47" s="343"/>
    </x:row>
    <x:row r="48">
      <x:c r="A48" s="343"/>
      <x:c r="B48" s="343"/>
      <x:c r="C48" s="343"/>
      <x:c r="D48" s="343"/>
      <x:c r="E48" s="343"/>
      <x:c r="F48" s="343"/>
      <x:c r="G48" s="343"/>
      <x:c r="H48" s="343"/>
      <x:c r="I48" s="343"/>
      <x:c r="J48" s="343"/>
      <x:c r="K48" s="343"/>
      <x:c r="L48" s="343"/>
    </x:row>
    <x:row r="49">
      <x:c r="A49" s="343"/>
      <x:c r="B49" s="343"/>
      <x:c r="C49" s="343"/>
      <x:c r="D49" s="343"/>
      <x:c r="E49" s="343"/>
      <x:c r="F49" s="343"/>
      <x:c r="G49" s="343"/>
      <x:c r="H49" s="343"/>
      <x:c r="I49" s="343"/>
      <x:c r="J49" s="343"/>
      <x:c r="K49" s="343"/>
      <x:c r="L49" s="343"/>
    </x:row>
    <x:row r="50">
      <x:c r="A50" s="343"/>
      <x:c r="B50" s="343"/>
      <x:c r="C50" s="343"/>
      <x:c r="D50" s="343"/>
      <x:c r="E50" s="343"/>
      <x:c r="F50" s="343"/>
      <x:c r="G50" s="343"/>
      <x:c r="H50" s="343"/>
      <x:c r="I50" s="343"/>
      <x:c r="J50" s="343"/>
      <x:c r="K50" s="343"/>
      <x:c r="L50" s="343"/>
    </x:row>
    <x:row r="51">
      <x:c r="A51" s="343"/>
      <x:c r="B51" s="343"/>
      <x:c r="C51" s="343"/>
      <x:c r="D51" s="343"/>
      <x:c r="E51" s="343"/>
      <x:c r="F51" s="343"/>
      <x:c r="G51" s="343"/>
      <x:c r="H51" s="343"/>
      <x:c r="I51" s="343"/>
      <x:c r="J51" s="343"/>
      <x:c r="K51" s="343"/>
      <x:c r="L51" s="343"/>
    </x:row>
    <x:row r="52">
      <x:c r="A52" s="343"/>
      <x:c r="B52" s="343"/>
      <x:c r="C52" s="343"/>
      <x:c r="D52" s="343"/>
      <x:c r="E52" s="343"/>
      <x:c r="F52" s="343"/>
      <x:c r="G52" s="343"/>
      <x:c r="H52" s="343"/>
      <x:c r="I52" s="343"/>
      <x:c r="J52" s="343"/>
      <x:c r="K52" s="343"/>
      <x:c r="L52" s="343"/>
    </x:row>
    <x:row r="53">
      <x:c r="A53" s="343"/>
      <x:c r="B53" s="343"/>
      <x:c r="C53" s="343"/>
      <x:c r="D53" s="343"/>
      <x:c r="E53" s="343"/>
      <x:c r="F53" s="343"/>
      <x:c r="G53" s="343"/>
      <x:c r="H53" s="343"/>
      <x:c r="I53" s="343"/>
      <x:c r="J53" s="343"/>
      <x:c r="K53" s="343"/>
      <x:c r="L53" s="343"/>
    </x:row>
    <x:row r="54">
      <x:c r="A54" s="343"/>
      <x:c r="B54" s="343"/>
      <x:c r="C54" s="343"/>
      <x:c r="D54" s="343"/>
      <x:c r="E54" s="343"/>
      <x:c r="F54" s="343"/>
      <x:c r="G54" s="343"/>
      <x:c r="H54" s="343"/>
      <x:c r="I54" s="343"/>
      <x:c r="J54" s="343"/>
      <x:c r="K54" s="343"/>
      <x:c r="L54" s="343"/>
    </x:row>
    <x:row r="55">
      <x:c r="A55" s="343"/>
      <x:c r="B55" s="343"/>
      <x:c r="C55" s="343"/>
      <x:c r="D55" s="343"/>
      <x:c r="E55" s="343"/>
      <x:c r="F55" s="343"/>
      <x:c r="G55" s="343"/>
      <x:c r="H55" s="343"/>
      <x:c r="I55" s="343"/>
      <x:c r="J55" s="343"/>
      <x:c r="K55" s="343"/>
      <x:c r="L55" s="343"/>
    </x:row>
    <x:row r="56">
      <x:c r="A56" s="343"/>
      <x:c r="B56" s="343"/>
      <x:c r="C56" s="343"/>
      <x:c r="D56" s="343"/>
      <x:c r="E56" s="343"/>
      <x:c r="F56" s="343"/>
      <x:c r="G56" s="343"/>
      <x:c r="H56" s="343"/>
      <x:c r="I56" s="343"/>
      <x:c r="J56" s="343"/>
      <x:c r="K56" s="343"/>
      <x:c r="L56" s="343"/>
    </x:row>
    <x:row r="57">
      <x:c r="A57" s="343"/>
      <x:c r="B57" s="343"/>
      <x:c r="C57" s="343"/>
      <x:c r="D57" s="343"/>
      <x:c r="E57" s="343"/>
      <x:c r="F57" s="343"/>
      <x:c r="G57" s="343"/>
      <x:c r="H57" s="343"/>
      <x:c r="I57" s="343"/>
      <x:c r="J57" s="343"/>
      <x:c r="K57" s="343"/>
      <x:c r="L57" s="343"/>
    </x:row>
    <x:row r="58">
      <x:c r="A58" s="343"/>
      <x:c r="B58" s="343"/>
      <x:c r="C58" s="343"/>
      <x:c r="D58" s="343"/>
      <x:c r="E58" s="343"/>
      <x:c r="F58" s="343"/>
      <x:c r="G58" s="343"/>
      <x:c r="H58" s="343"/>
      <x:c r="I58" s="343"/>
      <x:c r="J58" s="343"/>
      <x:c r="K58" s="343"/>
      <x:c r="L58" s="343"/>
    </x:row>
    <x:row r="59">
      <x:c r="A59" s="343"/>
      <x:c r="B59" s="343"/>
      <x:c r="C59" s="343"/>
      <x:c r="D59" s="343"/>
      <x:c r="E59" s="343"/>
      <x:c r="F59" s="343"/>
      <x:c r="G59" s="343"/>
      <x:c r="H59" s="343"/>
      <x:c r="I59" s="343"/>
      <x:c r="J59" s="343"/>
      <x:c r="K59" s="343"/>
      <x:c r="L59" s="343"/>
    </x:row>
    <x:row r="60">
      <x:c r="A60" s="343"/>
      <x:c r="B60" s="343"/>
      <x:c r="C60" s="343"/>
      <x:c r="D60" s="343"/>
      <x:c r="E60" s="343"/>
      <x:c r="F60" s="343"/>
      <x:c r="G60" s="343"/>
      <x:c r="H60" s="343"/>
      <x:c r="I60" s="343"/>
      <x:c r="J60" s="343"/>
      <x:c r="K60" s="343"/>
      <x:c r="L60" s="343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</x:row>
  </x:sheetData>
  <x:mergeCells>
    <x:mergeCell ref="A2:H2"/>
    <x:mergeCell ref="A3:H3"/>
    <x:mergeCell ref="A4:H4"/>
    <x:mergeCell ref="A12:H12"/>
    <x:mergeCell ref="A13:H13"/>
    <x:mergeCell ref="A14:H14"/>
    <x:mergeCell ref="A16:H16"/>
    <x:mergeCell ref="A27:H27"/>
    <x:mergeCell ref="A28:H28"/>
    <x:mergeCell ref="A29:H29"/>
  </x:mergeCells>
  <x:hyperlinks>
    <x:hyperlink xmlns:r="http://schemas.openxmlformats.org/officeDocument/2006/relationships" ref="J18" r:id="R0410534cfc354308"/>
    <x:hyperlink xmlns:r="http://schemas.openxmlformats.org/officeDocument/2006/relationships" ref="K18" r:id="Rf3adb5f5e63e4b30"/>
    <x:hyperlink xmlns:r="http://schemas.openxmlformats.org/officeDocument/2006/relationships" ref="J19" r:id="R199d595c36ea4142"/>
    <x:hyperlink xmlns:r="http://schemas.openxmlformats.org/officeDocument/2006/relationships" ref="K19" r:id="R404c1727b04f4676"/>
    <x:hyperlink xmlns:r="http://schemas.openxmlformats.org/officeDocument/2006/relationships" ref="J20" r:id="R67693979bbb94c66"/>
    <x:hyperlink xmlns:r="http://schemas.openxmlformats.org/officeDocument/2006/relationships" ref="K20" r:id="Ra37914b3416f40e3"/>
    <x:hyperlink xmlns:r="http://schemas.openxmlformats.org/officeDocument/2006/relationships" ref="J21" r:id="Rdab6502dca0b481d"/>
    <x:hyperlink xmlns:r="http://schemas.openxmlformats.org/officeDocument/2006/relationships" ref="K21" r:id="R715e6e3ff733458f"/>
    <x:hyperlink xmlns:r="http://schemas.openxmlformats.org/officeDocument/2006/relationships" ref="J22" r:id="R6a8504ba337f47d0"/>
    <x:hyperlink xmlns:r="http://schemas.openxmlformats.org/officeDocument/2006/relationships" ref="K22" r:id="R336d982a59ab46cc"/>
    <x:hyperlink xmlns:r="http://schemas.openxmlformats.org/officeDocument/2006/relationships" ref="J23" r:id="R2e5e602e564e475f"/>
    <x:hyperlink xmlns:r="http://schemas.openxmlformats.org/officeDocument/2006/relationships" ref="K23" r:id="R348c5f9d75fc4580"/>
    <x:hyperlink xmlns:r="http://schemas.openxmlformats.org/officeDocument/2006/relationships" ref="J24" r:id="R2b9b27170a3746ea"/>
    <x:hyperlink xmlns:r="http://schemas.openxmlformats.org/officeDocument/2006/relationships" ref="K24" r:id="R36f910621d174cc6"/>
    <x:hyperlink xmlns:r="http://schemas.openxmlformats.org/officeDocument/2006/relationships" ref="J25" r:id="R787754d87da747ed"/>
    <x:hyperlink xmlns:r="http://schemas.openxmlformats.org/officeDocument/2006/relationships" ref="K25" r:id="Ra287f5ad39714588"/>
    <x:hyperlink xmlns:r="http://schemas.openxmlformats.org/officeDocument/2006/relationships" ref="D31" r:id="Rce0beb4758c34c9f"/>
    <x:hyperlink xmlns:r="http://schemas.openxmlformats.org/officeDocument/2006/relationships" ref="D32" r:id="R7e6333daa5c24409"/>
    <x:hyperlink xmlns:r="http://schemas.openxmlformats.org/officeDocument/2006/relationships" ref="D33" r:id="R5996947fb83b43b0"/>
    <x:hyperlink xmlns:r="http://schemas.openxmlformats.org/officeDocument/2006/relationships" ref="D34" r:id="Rb2203bab48c54983"/>
    <x:hyperlink xmlns:r="http://schemas.openxmlformats.org/officeDocument/2006/relationships" ref="D35" r:id="Re32048bee2634f8a"/>
    <x:hyperlink xmlns:r="http://schemas.openxmlformats.org/officeDocument/2006/relationships" ref="D36" r:id="R495d09fd18414357"/>
    <x:hyperlink xmlns:r="http://schemas.openxmlformats.org/officeDocument/2006/relationships" ref="D37" r:id="Rc26888c3486f4e66"/>
    <x:hyperlink xmlns:r="http://schemas.openxmlformats.org/officeDocument/2006/relationships" ref="D38" r:id="Re8bda311e918479f"/>
    <x:hyperlink xmlns:r="http://schemas.openxmlformats.org/officeDocument/2006/relationships" ref="D39" r:id="Rf2bca12a20854e41"/>
    <x:hyperlink xmlns:r="http://schemas.openxmlformats.org/officeDocument/2006/relationships" ref="D40" r:id="Raafc21c1fd4845ec"/>
  </x:hyperlinks>
  <x:pageMargins left="0.7" right="0.7" top="0.75" bottom="0.75" header="0.3" footer="0.3"/>
</x:worksheet>
</file>